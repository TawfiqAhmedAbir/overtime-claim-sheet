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a8c47690f1df9b/Documents/Work/"/>
    </mc:Choice>
  </mc:AlternateContent>
  <xr:revisionPtr revIDLastSave="24" documentId="8_{3468CE4A-D347-4E64-A3AB-0A7CC6832AC3}" xr6:coauthVersionLast="47" xr6:coauthVersionMax="47" xr10:uidLastSave="{8EF8DBD7-BE8D-4D39-B616-BBD700736B5E}"/>
  <bookViews>
    <workbookView xWindow="-108" yWindow="-108" windowWidth="23256" windowHeight="12456" xr2:uid="{00000000-000D-0000-FFFF-FFFF00000000}"/>
  </bookViews>
  <sheets>
    <sheet name="Timesheet" sheetId="1" r:id="rId1"/>
    <sheet name="Ranges" sheetId="2" r:id="rId2"/>
  </sheets>
  <definedNames>
    <definedName name="Months">Ranges!$C$9:$C$21</definedName>
    <definedName name="_xlnm.Print_Area" localSheetId="0">Timesheet!$B$1:$H$59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1" i="2" l="1"/>
  <c r="C20" i="2"/>
  <c r="C19" i="2"/>
  <c r="C18" i="2"/>
  <c r="C17" i="2"/>
  <c r="C16" i="2"/>
  <c r="C15" i="2"/>
  <c r="C14" i="2"/>
  <c r="C13" i="2"/>
  <c r="C12" i="2"/>
  <c r="C11" i="2"/>
  <c r="C10" i="2"/>
  <c r="C9" i="2"/>
  <c r="H58" i="1"/>
  <c r="H45" i="1"/>
  <c r="G45" i="1"/>
  <c r="B45" i="1"/>
  <c r="C45" i="1"/>
  <c r="H44" i="1"/>
  <c r="B44" i="1"/>
  <c r="C44" i="1" s="1"/>
  <c r="H43" i="1"/>
  <c r="G43" i="1"/>
  <c r="B43" i="1"/>
  <c r="C43" i="1" s="1"/>
  <c r="H42" i="1"/>
  <c r="G42" i="1"/>
  <c r="F42" i="1"/>
  <c r="E42" i="1"/>
  <c r="B42" i="1"/>
  <c r="C42" i="1" s="1"/>
  <c r="H41" i="1"/>
  <c r="B41" i="1"/>
  <c r="C41" i="1"/>
  <c r="H40" i="1"/>
  <c r="B40" i="1"/>
  <c r="C40" i="1" s="1"/>
  <c r="H39" i="1"/>
  <c r="G39" i="1"/>
  <c r="B39" i="1"/>
  <c r="C39" i="1" s="1"/>
  <c r="H38" i="1"/>
  <c r="G38" i="1"/>
  <c r="B38" i="1"/>
  <c r="C38" i="1" s="1"/>
  <c r="H37" i="1"/>
  <c r="B37" i="1"/>
  <c r="C37" i="1"/>
  <c r="H36" i="1"/>
  <c r="G36" i="1"/>
  <c r="B36" i="1"/>
  <c r="C36" i="1" s="1"/>
  <c r="H35" i="1"/>
  <c r="B35" i="1"/>
  <c r="C35" i="1" s="1"/>
  <c r="H34" i="1"/>
  <c r="B34" i="1"/>
  <c r="C34" i="1" s="1"/>
  <c r="H33" i="1"/>
  <c r="B33" i="1"/>
  <c r="C33" i="1" s="1"/>
  <c r="H32" i="1"/>
  <c r="B32" i="1"/>
  <c r="C32" i="1"/>
  <c r="H31" i="1"/>
  <c r="B31" i="1"/>
  <c r="C31" i="1"/>
  <c r="H30" i="1"/>
  <c r="B30" i="1"/>
  <c r="C30" i="1"/>
  <c r="H29" i="1"/>
  <c r="G29" i="1"/>
  <c r="F29" i="1"/>
  <c r="E29" i="1"/>
  <c r="B29" i="1"/>
  <c r="C29" i="1"/>
  <c r="H28" i="1"/>
  <c r="B28" i="1"/>
  <c r="C28" i="1"/>
  <c r="H27" i="1"/>
  <c r="G27" i="1"/>
  <c r="E27" i="1"/>
  <c r="B27" i="1"/>
  <c r="C27" i="1"/>
  <c r="H26" i="1"/>
  <c r="B26" i="1"/>
  <c r="C26" i="1"/>
  <c r="H25" i="1"/>
  <c r="B25" i="1"/>
  <c r="C25" i="1" s="1"/>
  <c r="H24" i="1"/>
  <c r="B24" i="1"/>
  <c r="C24" i="1"/>
  <c r="H23" i="1"/>
  <c r="B23" i="1"/>
  <c r="C23" i="1"/>
  <c r="H22" i="1"/>
  <c r="B22" i="1"/>
  <c r="C22" i="1"/>
  <c r="H21" i="1"/>
  <c r="B21" i="1"/>
  <c r="C21" i="1"/>
  <c r="H20" i="1"/>
  <c r="G20" i="1"/>
  <c r="B20" i="1"/>
  <c r="C20" i="1" s="1"/>
  <c r="H19" i="1"/>
  <c r="G19" i="1"/>
  <c r="B19" i="1"/>
  <c r="C19" i="1" s="1"/>
  <c r="H18" i="1"/>
  <c r="B18" i="1"/>
  <c r="C18" i="1" s="1"/>
  <c r="H17" i="1"/>
  <c r="B17" i="1"/>
  <c r="C17" i="1" s="1"/>
  <c r="H16" i="1"/>
  <c r="B16" i="1"/>
  <c r="C16" i="1" s="1"/>
  <c r="H15" i="1"/>
  <c r="B15" i="1"/>
  <c r="C15" i="1" s="1"/>
</calcChain>
</file>

<file path=xl/sharedStrings.xml><?xml version="1.0" encoding="utf-8"?>
<sst xmlns="http://schemas.openxmlformats.org/spreadsheetml/2006/main" count="45" uniqueCount="35">
  <si>
    <t xml:space="preserve">         Synnovis Staff Timesheet - Phelbotomy</t>
  </si>
  <si>
    <t xml:space="preserve">Name: </t>
  </si>
  <si>
    <t>Qaiser Nazneen</t>
  </si>
  <si>
    <t>Job Title</t>
  </si>
  <si>
    <t>Adult Phlebotomist</t>
  </si>
  <si>
    <t>Department:            Phebotomy</t>
  </si>
  <si>
    <t>Site:</t>
  </si>
  <si>
    <t>DH</t>
  </si>
  <si>
    <t xml:space="preserve">Paediatric Phlebotomist </t>
  </si>
  <si>
    <t xml:space="preserve">Phlebotomy Team Leader </t>
  </si>
  <si>
    <t>How to complete the form</t>
  </si>
  <si>
    <t>Bank Phlebotomist</t>
  </si>
  <si>
    <t xml:space="preserve">NB Unsocial enhancements should be recorded from 1st of the month to the last day of every month. </t>
  </si>
  <si>
    <t>GSTT</t>
  </si>
  <si>
    <t>Date</t>
  </si>
  <si>
    <t>Day (Mon - Sun)</t>
  </si>
  <si>
    <t>Shift</t>
  </si>
  <si>
    <t>Start Time</t>
  </si>
  <si>
    <t>Finish Time</t>
  </si>
  <si>
    <t>Break</t>
  </si>
  <si>
    <t>Authorized by</t>
  </si>
  <si>
    <t>PRUH</t>
  </si>
  <si>
    <t xml:space="preserve">Totals for period  </t>
  </si>
  <si>
    <t>Signed (claimant)        Qaiser Nazneen</t>
  </si>
  <si>
    <t>Approved (Manager)</t>
  </si>
  <si>
    <t>Date:</t>
  </si>
  <si>
    <t>Print Name (Manager)</t>
  </si>
  <si>
    <t>OT</t>
  </si>
  <si>
    <t>OVERTIME</t>
  </si>
  <si>
    <t>Overtime (Enter Hours Worked)</t>
  </si>
  <si>
    <t>?</t>
  </si>
  <si>
    <t xml:space="preserve">Adult Phelobotomist </t>
  </si>
  <si>
    <t>Paedatric Phelobotomist</t>
  </si>
  <si>
    <t>Phelbotomy Team Leader</t>
  </si>
  <si>
    <t>Bank Phelbotomist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</si>
</sst>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dd"/>
    <numFmt numFmtId="165" formatCode="[$-F400]h:mm:ss\ AM/PM"/>
    <numFmt numFmtId="166" formatCode="0.0"/>
  </numFmts>
  <fonts count="38">
    <font>
      <sz val="10"/>
      <name val="Arial"/>
      <charset val="134"/>
    </font>
    <font>
      <b/>
      <sz val="12"/>
      <name val="Arial"/>
      <charset val="134"/>
    </font>
    <font>
      <b/>
      <sz val="11"/>
      <name val="Verdana"/>
      <charset val="134"/>
    </font>
    <font>
      <b/>
      <sz val="12"/>
      <name val="Calibri"/>
      <charset val="134"/>
      <scheme val="minor"/>
    </font>
    <font>
      <sz val="12"/>
      <name val="Calibri"/>
      <charset val="134"/>
      <scheme val="minor"/>
    </font>
    <font>
      <sz val="10"/>
      <name val="Calibri"/>
      <charset val="134"/>
      <scheme val="minor"/>
    </font>
    <font>
      <b/>
      <sz val="24"/>
      <color theme="0"/>
      <name val="Calibri"/>
      <charset val="134"/>
      <scheme val="minor"/>
    </font>
    <font>
      <b/>
      <sz val="18"/>
      <name val="Calibri"/>
      <charset val="134"/>
      <scheme val="minor"/>
    </font>
    <font>
      <b/>
      <sz val="12"/>
      <color indexed="63"/>
      <name val="Calibri"/>
      <charset val="134"/>
      <scheme val="minor"/>
    </font>
    <font>
      <b/>
      <sz val="16"/>
      <color indexed="63"/>
      <name val="Calibri"/>
      <charset val="134"/>
      <scheme val="minor"/>
    </font>
    <font>
      <b/>
      <sz val="1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sz val="11"/>
      <name val="Calibri"/>
      <charset val="134"/>
      <scheme val="minor"/>
    </font>
    <font>
      <i/>
      <sz val="11"/>
      <name val="Calibri"/>
      <charset val="134"/>
      <scheme val="minor"/>
    </font>
    <font>
      <b/>
      <sz val="9"/>
      <name val="Calibri"/>
      <charset val="134"/>
      <scheme val="minor"/>
    </font>
    <font>
      <b/>
      <sz val="10"/>
      <name val="Calibri"/>
      <charset val="134"/>
      <scheme val="minor"/>
    </font>
    <font>
      <b/>
      <sz val="10"/>
      <color theme="0"/>
      <name val="Calibri"/>
      <charset val="134"/>
      <scheme val="minor"/>
    </font>
    <font>
      <b/>
      <sz val="12"/>
      <color theme="1" tint="0.249977111117893"/>
      <name val="Arial"/>
      <charset val="134"/>
    </font>
    <font>
      <sz val="10"/>
      <color theme="1" tint="0.249977111117893"/>
      <name val="Calibri"/>
      <charset val="134"/>
      <scheme val="minor"/>
    </font>
    <font>
      <b/>
      <sz val="12"/>
      <color theme="1" tint="0.249977111117893"/>
      <name val="Calibri"/>
      <charset val="134"/>
      <scheme val="minor"/>
    </font>
    <font>
      <sz val="11"/>
      <color indexed="8"/>
      <name val="Calibri"/>
      <charset val="134"/>
    </font>
    <font>
      <sz val="11"/>
      <color indexed="9"/>
      <name val="Calibri"/>
      <charset val="134"/>
    </font>
    <font>
      <sz val="11"/>
      <color indexed="20"/>
      <name val="Calibri"/>
      <charset val="134"/>
    </font>
    <font>
      <b/>
      <sz val="11"/>
      <color indexed="52"/>
      <name val="Calibri"/>
      <charset val="134"/>
    </font>
    <font>
      <b/>
      <sz val="11"/>
      <color indexed="9"/>
      <name val="Calibri"/>
      <charset val="134"/>
    </font>
    <font>
      <i/>
      <sz val="11"/>
      <color indexed="23"/>
      <name val="Calibri"/>
      <charset val="134"/>
    </font>
    <font>
      <sz val="11"/>
      <color indexed="17"/>
      <name val="Calibri"/>
      <charset val="134"/>
    </font>
    <font>
      <b/>
      <sz val="15"/>
      <color indexed="56"/>
      <name val="Calibri"/>
      <charset val="134"/>
    </font>
    <font>
      <b/>
      <sz val="13"/>
      <color indexed="56"/>
      <name val="Calibri"/>
      <charset val="134"/>
    </font>
    <font>
      <b/>
      <sz val="11"/>
      <color indexed="56"/>
      <name val="Calibri"/>
      <charset val="134"/>
    </font>
    <font>
      <sz val="11"/>
      <color indexed="62"/>
      <name val="Calibri"/>
      <charset val="134"/>
    </font>
    <font>
      <sz val="11"/>
      <color indexed="52"/>
      <name val="Calibri"/>
      <charset val="134"/>
    </font>
    <font>
      <sz val="11"/>
      <color indexed="60"/>
      <name val="Calibri"/>
      <charset val="134"/>
    </font>
    <font>
      <b/>
      <sz val="11"/>
      <color indexed="63"/>
      <name val="Calibri"/>
      <charset val="134"/>
    </font>
    <font>
      <b/>
      <sz val="18"/>
      <color indexed="56"/>
      <name val="Cambria"/>
      <charset val="134"/>
    </font>
    <font>
      <b/>
      <sz val="11"/>
      <color indexed="8"/>
      <name val="Calibri"/>
      <charset val="134"/>
    </font>
    <font>
      <sz val="11"/>
      <color indexed="10"/>
      <name val="Calibri"/>
      <charset val="134"/>
    </font>
    <font>
      <sz val="10"/>
      <name val="Arial"/>
      <charset val="134"/>
    </font>
  </fonts>
  <fills count="31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9"/>
        <bgColor indexed="64"/>
      </patternFill>
    </fill>
    <fill>
      <gradientFill degree="180">
        <stop position="0">
          <color theme="0"/>
        </stop>
        <stop position="1">
          <color rgb="FF002060"/>
        </stop>
      </gradient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47">
    <xf numFmtId="0" fontId="0" fillId="0" borderId="0"/>
    <xf numFmtId="0" fontId="20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0" fillId="15" borderId="0" applyNumberFormat="0" applyBorder="0" applyAlignment="0" applyProtection="0"/>
    <xf numFmtId="0" fontId="20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0" fillId="19" borderId="0" applyNumberFormat="0" applyBorder="0" applyAlignment="0" applyProtection="0"/>
    <xf numFmtId="0" fontId="20" fillId="20" borderId="0" applyNumberFormat="0" applyBorder="0" applyAlignment="0" applyProtection="0"/>
    <xf numFmtId="0" fontId="20" fillId="15" borderId="0" applyNumberFormat="0" applyBorder="0" applyAlignment="0" applyProtection="0"/>
    <xf numFmtId="0" fontId="20" fillId="18" borderId="0" applyNumberFormat="0" applyBorder="0" applyAlignment="0" applyProtection="0"/>
    <xf numFmtId="0" fontId="20" fillId="21" borderId="0" applyNumberFormat="0" applyBorder="0" applyAlignment="0" applyProtection="0"/>
    <xf numFmtId="0" fontId="21" fillId="22" borderId="0" applyNumberFormat="0" applyBorder="0" applyAlignment="0" applyProtection="0"/>
    <xf numFmtId="0" fontId="21" fillId="19" borderId="0" applyNumberFormat="0" applyBorder="0" applyAlignment="0" applyProtection="0"/>
    <xf numFmtId="0" fontId="21" fillId="20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5" borderId="0" applyNumberFormat="0" applyBorder="0" applyAlignment="0" applyProtection="0"/>
    <xf numFmtId="0" fontId="21" fillId="26" borderId="0" applyNumberFormat="0" applyBorder="0" applyAlignment="0" applyProtection="0"/>
    <xf numFmtId="0" fontId="21" fillId="27" borderId="0" applyNumberFormat="0" applyBorder="0" applyAlignment="0" applyProtection="0"/>
    <xf numFmtId="0" fontId="21" fillId="28" borderId="0" applyNumberFormat="0" applyBorder="0" applyAlignment="0" applyProtection="0"/>
    <xf numFmtId="0" fontId="21" fillId="23" borderId="0" applyNumberFormat="0" applyBorder="0" applyAlignment="0" applyProtection="0"/>
    <xf numFmtId="0" fontId="21" fillId="24" borderId="0" applyNumberFormat="0" applyBorder="0" applyAlignment="0" applyProtection="0"/>
    <xf numFmtId="0" fontId="21" fillId="29" borderId="0" applyNumberFormat="0" applyBorder="0" applyAlignment="0" applyProtection="0"/>
    <xf numFmtId="0" fontId="22" fillId="13" borderId="0" applyNumberFormat="0" applyBorder="0" applyAlignment="0" applyProtection="0"/>
    <xf numFmtId="0" fontId="23" fillId="2" borderId="26" applyNumberFormat="0" applyAlignment="0" applyProtection="0"/>
    <xf numFmtId="0" fontId="24" fillId="30" borderId="27" applyNumberFormat="0" applyAlignment="0" applyProtection="0"/>
    <xf numFmtId="0" fontId="25" fillId="0" borderId="0" applyNumberFormat="0" applyFill="0" applyBorder="0" applyAlignment="0" applyProtection="0"/>
    <xf numFmtId="0" fontId="26" fillId="14" borderId="0" applyNumberFormat="0" applyBorder="0" applyAlignment="0" applyProtection="0"/>
    <xf numFmtId="0" fontId="27" fillId="0" borderId="28" applyNumberFormat="0" applyFill="0" applyAlignment="0" applyProtection="0"/>
    <xf numFmtId="0" fontId="28" fillId="0" borderId="29" applyNumberFormat="0" applyFill="0" applyAlignment="0" applyProtection="0"/>
    <xf numFmtId="0" fontId="29" fillId="0" borderId="30" applyNumberFormat="0" applyFill="0" applyAlignment="0" applyProtection="0"/>
    <xf numFmtId="0" fontId="29" fillId="0" borderId="0" applyNumberFormat="0" applyFill="0" applyBorder="0" applyAlignment="0" applyProtection="0"/>
    <xf numFmtId="0" fontId="30" fillId="17" borderId="26" applyNumberFormat="0" applyAlignment="0" applyProtection="0"/>
    <xf numFmtId="0" fontId="31" fillId="0" borderId="31" applyNumberFormat="0" applyFill="0" applyAlignment="0" applyProtection="0"/>
    <xf numFmtId="0" fontId="32" fillId="3" borderId="0" applyNumberFormat="0" applyBorder="0" applyAlignment="0" applyProtection="0"/>
    <xf numFmtId="0" fontId="37" fillId="0" borderId="0"/>
    <xf numFmtId="0" fontId="37" fillId="0" borderId="0"/>
    <xf numFmtId="0" fontId="37" fillId="0" borderId="0"/>
    <xf numFmtId="0" fontId="37" fillId="9" borderId="32" applyNumberFormat="0" applyFont="0" applyAlignment="0" applyProtection="0"/>
    <xf numFmtId="0" fontId="33" fillId="2" borderId="33" applyNumberFormat="0" applyAlignment="0" applyProtection="0"/>
    <xf numFmtId="9" fontId="37" fillId="0" borderId="0" applyFont="0" applyFill="0" applyBorder="0" applyAlignment="0" applyProtection="0"/>
    <xf numFmtId="0" fontId="6" fillId="5" borderId="7" applyBorder="0">
      <alignment horizontal="center" vertical="center"/>
    </xf>
    <xf numFmtId="0" fontId="34" fillId="0" borderId="0" applyNumberFormat="0" applyFill="0" applyBorder="0" applyAlignment="0" applyProtection="0"/>
    <xf numFmtId="0" fontId="35" fillId="0" borderId="34" applyNumberFormat="0" applyFill="0" applyAlignment="0" applyProtection="0"/>
    <xf numFmtId="0" fontId="36" fillId="0" borderId="0" applyNumberFormat="0" applyFill="0" applyBorder="0" applyAlignment="0" applyProtection="0"/>
  </cellStyleXfs>
  <cellXfs count="113">
    <xf numFmtId="0" fontId="0" fillId="0" borderId="0" xfId="0"/>
    <xf numFmtId="0" fontId="0" fillId="0" borderId="0" xfId="0" applyProtection="1"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1" fillId="2" borderId="2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2" fontId="2" fillId="3" borderId="4" xfId="0" applyNumberFormat="1" applyFont="1" applyFill="1" applyBorder="1" applyAlignment="1" applyProtection="1">
      <alignment horizontal="center"/>
      <protection locked="0"/>
    </xf>
    <xf numFmtId="0" fontId="1" fillId="4" borderId="5" xfId="0" applyFont="1" applyFill="1" applyBorder="1" applyAlignment="1" applyProtection="1">
      <alignment horizontal="left" vertical="center"/>
      <protection locked="0"/>
    </xf>
    <xf numFmtId="49" fontId="1" fillId="4" borderId="5" xfId="0" applyNumberFormat="1" applyFont="1" applyFill="1" applyBorder="1" applyAlignment="1" applyProtection="1">
      <alignment horizontal="center" vertical="center"/>
      <protection locked="0"/>
    </xf>
    <xf numFmtId="0" fontId="1" fillId="4" borderId="5" xfId="0" applyFont="1" applyFill="1" applyBorder="1" applyAlignment="1" applyProtection="1">
      <alignment horizontal="center" vertical="center"/>
      <protection locked="0"/>
    </xf>
    <xf numFmtId="0" fontId="1" fillId="0" borderId="5" xfId="0" applyFont="1" applyBorder="1" applyAlignment="1" applyProtection="1">
      <alignment horizontal="center" vertical="center"/>
      <protection locked="0"/>
    </xf>
    <xf numFmtId="17" fontId="0" fillId="0" borderId="0" xfId="0" applyNumberFormat="1" applyAlignment="1">
      <alignment horizontal="left"/>
    </xf>
    <xf numFmtId="16" fontId="0" fillId="0" borderId="0" xfId="0" applyNumberFormat="1" applyProtection="1">
      <protection locked="0"/>
    </xf>
    <xf numFmtId="0" fontId="3" fillId="4" borderId="0" xfId="0" applyFont="1" applyFill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4" fillId="0" borderId="0" xfId="0" applyFont="1" applyProtection="1">
      <protection locked="0"/>
    </xf>
    <xf numFmtId="0" fontId="5" fillId="4" borderId="0" xfId="0" applyFont="1" applyFill="1" applyProtection="1">
      <protection locked="0"/>
    </xf>
    <xf numFmtId="0" fontId="5" fillId="0" borderId="0" xfId="0" applyFont="1" applyProtection="1">
      <protection locked="0"/>
    </xf>
    <xf numFmtId="2" fontId="5" fillId="0" borderId="0" xfId="0" applyNumberFormat="1" applyFont="1" applyProtection="1">
      <protection locked="0"/>
    </xf>
    <xf numFmtId="0" fontId="5" fillId="4" borderId="6" xfId="0" applyFont="1" applyFill="1" applyBorder="1" applyProtection="1">
      <protection locked="0"/>
    </xf>
    <xf numFmtId="0" fontId="7" fillId="6" borderId="7" xfId="0" applyFont="1" applyFill="1" applyBorder="1" applyAlignment="1" applyProtection="1">
      <alignment horizontal="center" vertical="center"/>
      <protection locked="0"/>
    </xf>
    <xf numFmtId="0" fontId="7" fillId="6" borderId="8" xfId="0" applyFont="1" applyFill="1" applyBorder="1" applyAlignment="1" applyProtection="1">
      <alignment horizontal="center" vertical="center"/>
      <protection locked="0"/>
    </xf>
    <xf numFmtId="0" fontId="7" fillId="6" borderId="15" xfId="0" applyFont="1" applyFill="1" applyBorder="1" applyAlignment="1" applyProtection="1">
      <alignment horizontal="center" vertical="center"/>
      <protection locked="0"/>
    </xf>
    <xf numFmtId="2" fontId="5" fillId="6" borderId="8" xfId="0" applyNumberFormat="1" applyFont="1" applyFill="1" applyBorder="1" applyProtection="1">
      <protection locked="0"/>
    </xf>
    <xf numFmtId="0" fontId="8" fillId="7" borderId="7" xfId="0" applyFont="1" applyFill="1" applyBorder="1" applyAlignment="1" applyProtection="1">
      <alignment horizontal="left" vertical="center"/>
      <protection locked="0"/>
    </xf>
    <xf numFmtId="0" fontId="8" fillId="4" borderId="17" xfId="0" applyFont="1" applyFill="1" applyBorder="1" applyAlignment="1" applyProtection="1">
      <alignment horizontal="left" vertical="center"/>
      <protection locked="0"/>
    </xf>
    <xf numFmtId="0" fontId="8" fillId="4" borderId="0" xfId="0" applyFont="1" applyFill="1" applyAlignment="1" applyProtection="1">
      <alignment horizontal="left" vertical="center"/>
      <protection locked="0"/>
    </xf>
    <xf numFmtId="0" fontId="8" fillId="4" borderId="2" xfId="0" applyFont="1" applyFill="1" applyBorder="1" applyAlignment="1" applyProtection="1">
      <alignment vertical="center"/>
      <protection locked="0"/>
    </xf>
    <xf numFmtId="0" fontId="8" fillId="4" borderId="1" xfId="0" applyFont="1" applyFill="1" applyBorder="1" applyAlignment="1" applyProtection="1">
      <alignment vertical="center"/>
      <protection locked="0"/>
    </xf>
    <xf numFmtId="0" fontId="8" fillId="4" borderId="15" xfId="0" applyFont="1" applyFill="1" applyBorder="1" applyAlignment="1" applyProtection="1">
      <alignment vertical="center"/>
      <protection locked="0"/>
    </xf>
    <xf numFmtId="0" fontId="8" fillId="4" borderId="17" xfId="0" applyFont="1" applyFill="1" applyBorder="1" applyAlignment="1" applyProtection="1">
      <alignment vertical="center"/>
      <protection locked="0"/>
    </xf>
    <xf numFmtId="0" fontId="8" fillId="4" borderId="16" xfId="0" applyFont="1" applyFill="1" applyBorder="1" applyAlignment="1" applyProtection="1">
      <alignment vertical="center"/>
      <protection locked="0"/>
    </xf>
    <xf numFmtId="17" fontId="9" fillId="4" borderId="18" xfId="0" applyNumberFormat="1" applyFont="1" applyFill="1" applyBorder="1" applyAlignment="1" applyProtection="1">
      <alignment horizontal="center" vertical="center"/>
      <protection locked="0"/>
    </xf>
    <xf numFmtId="0" fontId="3" fillId="6" borderId="7" xfId="0" applyFont="1" applyFill="1" applyBorder="1" applyAlignment="1" applyProtection="1">
      <alignment horizontal="left"/>
      <protection locked="0"/>
    </xf>
    <xf numFmtId="0" fontId="3" fillId="6" borderId="8" xfId="0" applyFont="1" applyFill="1" applyBorder="1" applyAlignment="1" applyProtection="1">
      <alignment horizontal="left"/>
      <protection locked="0"/>
    </xf>
    <xf numFmtId="0" fontId="3" fillId="6" borderId="9" xfId="0" applyFont="1" applyFill="1" applyBorder="1" applyAlignment="1" applyProtection="1">
      <alignment horizontal="left"/>
      <protection locked="0"/>
    </xf>
    <xf numFmtId="0" fontId="3" fillId="6" borderId="12" xfId="0" applyFont="1" applyFill="1" applyBorder="1" applyAlignment="1" applyProtection="1">
      <alignment horizontal="left"/>
      <protection locked="0"/>
    </xf>
    <xf numFmtId="0" fontId="3" fillId="6" borderId="13" xfId="0" applyFont="1" applyFill="1" applyBorder="1" applyAlignment="1" applyProtection="1">
      <alignment horizontal="left"/>
      <protection locked="0"/>
    </xf>
    <xf numFmtId="0" fontId="3" fillId="6" borderId="14" xfId="0" applyFont="1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/>
      <protection locked="0"/>
    </xf>
    <xf numFmtId="2" fontId="11" fillId="4" borderId="10" xfId="0" applyNumberFormat="1" applyFont="1" applyFill="1" applyBorder="1" applyProtection="1">
      <protection locked="0"/>
    </xf>
    <xf numFmtId="2" fontId="12" fillId="4" borderId="0" xfId="0" applyNumberFormat="1" applyFont="1" applyFill="1" applyProtection="1">
      <protection locked="0"/>
    </xf>
    <xf numFmtId="0" fontId="10" fillId="4" borderId="11" xfId="0" applyFont="1" applyFill="1" applyBorder="1" applyAlignment="1" applyProtection="1">
      <alignment horizontal="center"/>
      <protection locked="0"/>
    </xf>
    <xf numFmtId="2" fontId="5" fillId="4" borderId="10" xfId="0" applyNumberFormat="1" applyFont="1" applyFill="1" applyBorder="1" applyProtection="1">
      <protection locked="0"/>
    </xf>
    <xf numFmtId="2" fontId="13" fillId="4" borderId="0" xfId="0" applyNumberFormat="1" applyFont="1" applyFill="1" applyProtection="1">
      <protection locked="0"/>
    </xf>
    <xf numFmtId="0" fontId="12" fillId="4" borderId="12" xfId="0" applyFont="1" applyFill="1" applyBorder="1" applyProtection="1">
      <protection locked="0"/>
    </xf>
    <xf numFmtId="0" fontId="12" fillId="4" borderId="13" xfId="0" applyFont="1" applyFill="1" applyBorder="1" applyAlignment="1" applyProtection="1">
      <alignment horizontal="left"/>
      <protection locked="0"/>
    </xf>
    <xf numFmtId="0" fontId="12" fillId="4" borderId="13" xfId="0" applyFont="1" applyFill="1" applyBorder="1" applyProtection="1">
      <protection locked="0"/>
    </xf>
    <xf numFmtId="2" fontId="12" fillId="4" borderId="13" xfId="0" applyNumberFormat="1" applyFont="1" applyFill="1" applyBorder="1" applyProtection="1">
      <protection locked="0"/>
    </xf>
    <xf numFmtId="2" fontId="12" fillId="4" borderId="14" xfId="0" applyNumberFormat="1" applyFont="1" applyFill="1" applyBorder="1" applyAlignment="1" applyProtection="1">
      <alignment horizontal="left"/>
      <protection locked="0"/>
    </xf>
    <xf numFmtId="0" fontId="3" fillId="4" borderId="6" xfId="0" applyFon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center" vertical="center"/>
      <protection locked="0"/>
    </xf>
    <xf numFmtId="0" fontId="3" fillId="2" borderId="3" xfId="0" applyFont="1" applyFill="1" applyBorder="1" applyAlignment="1" applyProtection="1">
      <alignment horizontal="center" vertical="center"/>
      <protection locked="0"/>
    </xf>
    <xf numFmtId="2" fontId="3" fillId="8" borderId="19" xfId="0" applyNumberFormat="1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Protection="1">
      <protection locked="0"/>
    </xf>
    <xf numFmtId="1" fontId="10" fillId="4" borderId="20" xfId="0" applyNumberFormat="1" applyFont="1" applyFill="1" applyBorder="1" applyAlignment="1">
      <alignment horizontal="center" vertical="center"/>
    </xf>
    <xf numFmtId="164" fontId="10" fillId="4" borderId="5" xfId="0" applyNumberFormat="1" applyFont="1" applyFill="1" applyBorder="1" applyAlignment="1">
      <alignment horizontal="center" vertical="center"/>
    </xf>
    <xf numFmtId="0" fontId="10" fillId="0" borderId="21" xfId="0" applyFont="1" applyBorder="1" applyAlignment="1" applyProtection="1">
      <alignment horizontal="center"/>
      <protection locked="0"/>
    </xf>
    <xf numFmtId="165" fontId="10" fillId="4" borderId="5" xfId="0" applyNumberFormat="1" applyFont="1" applyFill="1" applyBorder="1" applyAlignment="1" applyProtection="1">
      <alignment horizontal="center" vertical="center"/>
      <protection locked="0"/>
    </xf>
    <xf numFmtId="166" fontId="10" fillId="4" borderId="5" xfId="0" applyNumberFormat="1" applyFont="1" applyFill="1" applyBorder="1" applyAlignment="1" applyProtection="1">
      <alignment horizontal="center" vertical="center"/>
      <protection locked="0"/>
    </xf>
    <xf numFmtId="0" fontId="10" fillId="4" borderId="5" xfId="0" applyFont="1" applyFill="1" applyBorder="1" applyAlignment="1" applyProtection="1">
      <alignment horizontal="center" vertical="center"/>
      <protection locked="0"/>
    </xf>
    <xf numFmtId="20" fontId="10" fillId="0" borderId="21" xfId="0" applyNumberFormat="1" applyFont="1" applyBorder="1" applyAlignment="1" applyProtection="1">
      <alignment horizontal="center"/>
      <protection locked="0"/>
    </xf>
    <xf numFmtId="2" fontId="10" fillId="9" borderId="22" xfId="0" applyNumberFormat="1" applyFont="1" applyFill="1" applyBorder="1" applyAlignment="1" applyProtection="1">
      <alignment horizontal="center" vertical="center"/>
      <protection locked="0"/>
    </xf>
    <xf numFmtId="0" fontId="3" fillId="4" borderId="10" xfId="0" applyFont="1" applyFill="1" applyBorder="1" applyAlignment="1" applyProtection="1">
      <alignment horizontal="right"/>
      <protection locked="0"/>
    </xf>
    <xf numFmtId="0" fontId="3" fillId="4" borderId="0" xfId="0" applyFont="1" applyFill="1" applyAlignment="1" applyProtection="1">
      <alignment horizontal="right"/>
      <protection locked="0"/>
    </xf>
    <xf numFmtId="0" fontId="14" fillId="10" borderId="23" xfId="0" applyFont="1" applyFill="1" applyBorder="1" applyAlignment="1" applyProtection="1">
      <alignment horizontal="center" vertical="center" wrapText="1"/>
      <protection locked="0"/>
    </xf>
    <xf numFmtId="0" fontId="5" fillId="4" borderId="10" xfId="0" applyFont="1" applyFill="1" applyBorder="1" applyAlignment="1" applyProtection="1">
      <alignment horizontal="left"/>
      <protection locked="0"/>
    </xf>
    <xf numFmtId="0" fontId="5" fillId="4" borderId="0" xfId="0" applyFont="1" applyFill="1" applyAlignment="1" applyProtection="1">
      <alignment horizontal="left"/>
      <protection locked="0"/>
    </xf>
    <xf numFmtId="2" fontId="5" fillId="4" borderId="0" xfId="0" applyNumberFormat="1" applyFont="1" applyFill="1" applyProtection="1">
      <protection locked="0"/>
    </xf>
    <xf numFmtId="0" fontId="5" fillId="4" borderId="2" xfId="0" applyFont="1" applyFill="1" applyBorder="1" applyProtection="1">
      <protection locked="0"/>
    </xf>
    <xf numFmtId="2" fontId="5" fillId="4" borderId="24" xfId="0" applyNumberFormat="1" applyFont="1" applyFill="1" applyBorder="1" applyAlignment="1" applyProtection="1">
      <alignment vertical="center"/>
      <protection locked="0"/>
    </xf>
    <xf numFmtId="0" fontId="5" fillId="4" borderId="10" xfId="0" applyFont="1" applyFill="1" applyBorder="1" applyAlignment="1" applyProtection="1">
      <alignment horizontal="left" vertical="center"/>
      <protection locked="0"/>
    </xf>
    <xf numFmtId="0" fontId="5" fillId="4" borderId="0" xfId="0" applyFont="1" applyFill="1" applyAlignment="1" applyProtection="1">
      <alignment horizontal="left" vertical="center"/>
      <protection locked="0"/>
    </xf>
    <xf numFmtId="2" fontId="5" fillId="4" borderId="11" xfId="0" applyNumberFormat="1" applyFont="1" applyFill="1" applyBorder="1" applyAlignment="1" applyProtection="1">
      <alignment horizontal="left" vertical="center"/>
      <protection locked="0"/>
    </xf>
    <xf numFmtId="2" fontId="5" fillId="4" borderId="2" xfId="0" applyNumberFormat="1" applyFont="1" applyFill="1" applyBorder="1" applyAlignment="1" applyProtection="1">
      <alignment vertical="center"/>
      <protection locked="0"/>
    </xf>
    <xf numFmtId="0" fontId="5" fillId="4" borderId="7" xfId="0" applyFont="1" applyFill="1" applyBorder="1" applyAlignment="1" applyProtection="1">
      <alignment horizontal="left" vertical="center"/>
      <protection locked="0"/>
    </xf>
    <xf numFmtId="0" fontId="5" fillId="4" borderId="8" xfId="0" applyFont="1" applyFill="1" applyBorder="1" applyAlignment="1" applyProtection="1">
      <alignment horizontal="left" vertical="center"/>
      <protection locked="0"/>
    </xf>
    <xf numFmtId="0" fontId="5" fillId="4" borderId="9" xfId="0" applyFont="1" applyFill="1" applyBorder="1" applyAlignment="1" applyProtection="1">
      <alignment horizontal="left" vertical="center"/>
      <protection locked="0"/>
    </xf>
    <xf numFmtId="0" fontId="5" fillId="4" borderId="17" xfId="0" applyFont="1" applyFill="1" applyBorder="1" applyProtection="1">
      <protection locked="0"/>
    </xf>
    <xf numFmtId="0" fontId="5" fillId="4" borderId="13" xfId="0" applyFont="1" applyFill="1" applyBorder="1" applyProtection="1">
      <protection locked="0"/>
    </xf>
    <xf numFmtId="0" fontId="5" fillId="4" borderId="14" xfId="0" applyFont="1" applyFill="1" applyBorder="1" applyProtection="1">
      <protection locked="0"/>
    </xf>
    <xf numFmtId="0" fontId="16" fillId="11" borderId="23" xfId="0" applyFont="1" applyFill="1" applyBorder="1" applyAlignment="1" applyProtection="1">
      <alignment horizontal="center" vertical="center" wrapText="1"/>
      <protection locked="0"/>
    </xf>
    <xf numFmtId="0" fontId="4" fillId="4" borderId="0" xfId="0" applyFont="1" applyFill="1" applyProtection="1">
      <protection locked="0"/>
    </xf>
    <xf numFmtId="2" fontId="3" fillId="10" borderId="22" xfId="0" applyNumberFormat="1" applyFont="1" applyFill="1" applyBorder="1" applyAlignment="1" applyProtection="1">
      <alignment horizontal="center" vertical="center"/>
      <protection locked="0"/>
    </xf>
    <xf numFmtId="2" fontId="15" fillId="10" borderId="25" xfId="0" applyNumberFormat="1" applyFont="1" applyFill="1" applyBorder="1" applyAlignment="1" applyProtection="1">
      <alignment horizontal="center" vertical="center"/>
      <protection locked="0"/>
    </xf>
    <xf numFmtId="0" fontId="5" fillId="4" borderId="0" xfId="0" applyFont="1" applyFill="1" applyAlignment="1" applyProtection="1">
      <alignment horizontal="center" vertical="center"/>
      <protection locked="0"/>
    </xf>
    <xf numFmtId="0" fontId="3" fillId="4" borderId="0" xfId="0" applyFont="1" applyFill="1" applyAlignment="1" applyProtection="1">
      <alignment horizontal="center" vertical="center"/>
      <protection locked="0"/>
    </xf>
    <xf numFmtId="0" fontId="17" fillId="4" borderId="0" xfId="0" applyFont="1" applyFill="1" applyAlignment="1" applyProtection="1">
      <alignment horizontal="center" vertical="center"/>
      <protection locked="0"/>
    </xf>
    <xf numFmtId="0" fontId="18" fillId="4" borderId="0" xfId="0" applyFont="1" applyFill="1" applyProtection="1">
      <protection locked="0"/>
    </xf>
    <xf numFmtId="0" fontId="19" fillId="4" borderId="0" xfId="0" applyFont="1" applyFill="1" applyAlignment="1" applyProtection="1">
      <alignment horizontal="center"/>
      <protection locked="0"/>
    </xf>
    <xf numFmtId="2" fontId="3" fillId="4" borderId="0" xfId="0" applyNumberFormat="1" applyFont="1" applyFill="1" applyAlignment="1" applyProtection="1">
      <alignment horizontal="center" vertical="center"/>
      <protection locked="0"/>
    </xf>
    <xf numFmtId="20" fontId="3" fillId="4" borderId="0" xfId="0" applyNumberFormat="1" applyFont="1" applyFill="1" applyAlignment="1" applyProtection="1">
      <alignment horizontal="center" vertical="center"/>
      <protection locked="0"/>
    </xf>
    <xf numFmtId="0" fontId="15" fillId="4" borderId="17" xfId="0" applyFont="1" applyFill="1" applyBorder="1" applyAlignment="1" applyProtection="1">
      <alignment horizontal="left" vertical="center"/>
      <protection locked="0"/>
    </xf>
    <xf numFmtId="0" fontId="15" fillId="4" borderId="15" xfId="0" applyFont="1" applyFill="1" applyBorder="1" applyAlignment="1" applyProtection="1">
      <alignment horizontal="left" vertical="center"/>
      <protection locked="0"/>
    </xf>
    <xf numFmtId="0" fontId="15" fillId="4" borderId="18" xfId="0" applyFont="1" applyFill="1" applyBorder="1" applyAlignment="1" applyProtection="1">
      <alignment horizontal="left" vertical="center"/>
      <protection locked="0"/>
    </xf>
    <xf numFmtId="0" fontId="6" fillId="5" borderId="7" xfId="43" applyBorder="1" applyAlignment="1" applyProtection="1">
      <alignment horizontal="left" vertical="center"/>
      <protection locked="0"/>
    </xf>
    <xf numFmtId="0" fontId="6" fillId="5" borderId="8" xfId="43" applyBorder="1" applyAlignment="1" applyProtection="1">
      <alignment horizontal="left" vertical="center"/>
      <protection locked="0"/>
    </xf>
    <xf numFmtId="0" fontId="6" fillId="5" borderId="9" xfId="43" applyBorder="1" applyAlignment="1" applyProtection="1">
      <alignment horizontal="left" vertical="center"/>
      <protection locked="0"/>
    </xf>
    <xf numFmtId="0" fontId="6" fillId="5" borderId="10" xfId="43" applyBorder="1" applyAlignment="1" applyProtection="1">
      <alignment horizontal="left" vertical="center"/>
      <protection locked="0"/>
    </xf>
    <xf numFmtId="0" fontId="6" fillId="5" borderId="0" xfId="43" applyBorder="1" applyAlignment="1" applyProtection="1">
      <alignment horizontal="left" vertical="center"/>
      <protection locked="0"/>
    </xf>
    <xf numFmtId="0" fontId="6" fillId="5" borderId="11" xfId="43" applyBorder="1" applyAlignment="1" applyProtection="1">
      <alignment horizontal="left" vertical="center"/>
      <protection locked="0"/>
    </xf>
    <xf numFmtId="0" fontId="6" fillId="5" borderId="12" xfId="43" applyBorder="1" applyAlignment="1" applyProtection="1">
      <alignment horizontal="left" vertical="center"/>
      <protection locked="0"/>
    </xf>
    <xf numFmtId="0" fontId="6" fillId="5" borderId="13" xfId="43" applyBorder="1" applyAlignment="1" applyProtection="1">
      <alignment horizontal="left" vertical="center"/>
      <protection locked="0"/>
    </xf>
    <xf numFmtId="0" fontId="6" fillId="5" borderId="14" xfId="43" applyBorder="1" applyAlignment="1" applyProtection="1">
      <alignment horizontal="left" vertical="center"/>
      <protection locked="0"/>
    </xf>
    <xf numFmtId="0" fontId="3" fillId="7" borderId="15" xfId="0" applyFont="1" applyFill="1" applyBorder="1" applyAlignment="1" applyProtection="1">
      <alignment horizontal="center" vertical="center"/>
      <protection locked="0"/>
    </xf>
    <xf numFmtId="0" fontId="3" fillId="7" borderId="16" xfId="0" applyFont="1" applyFill="1" applyBorder="1" applyAlignment="1" applyProtection="1">
      <alignment horizontal="center" vertical="center"/>
      <protection locked="0"/>
    </xf>
    <xf numFmtId="0" fontId="8" fillId="4" borderId="15" xfId="0" applyFont="1" applyFill="1" applyBorder="1" applyAlignment="1" applyProtection="1">
      <alignment horizontal="center" vertical="center"/>
      <protection locked="0"/>
    </xf>
    <xf numFmtId="0" fontId="8" fillId="4" borderId="18" xfId="0" applyFont="1" applyFill="1" applyBorder="1" applyAlignment="1" applyProtection="1">
      <alignment horizontal="center" vertical="center"/>
      <protection locked="0"/>
    </xf>
    <xf numFmtId="2" fontId="10" fillId="2" borderId="17" xfId="0" applyNumberFormat="1" applyFont="1" applyFill="1" applyBorder="1" applyAlignment="1" applyProtection="1">
      <alignment horizontal="center"/>
      <protection locked="0"/>
    </xf>
    <xf numFmtId="2" fontId="10" fillId="2" borderId="15" xfId="0" applyNumberFormat="1" applyFont="1" applyFill="1" applyBorder="1" applyAlignment="1" applyProtection="1">
      <alignment horizontal="center"/>
      <protection locked="0"/>
    </xf>
    <xf numFmtId="2" fontId="10" fillId="2" borderId="18" xfId="0" applyNumberFormat="1" applyFont="1" applyFill="1" applyBorder="1" applyAlignment="1" applyProtection="1">
      <alignment horizontal="center"/>
      <protection locked="0"/>
    </xf>
    <xf numFmtId="0" fontId="10" fillId="0" borderId="17" xfId="0" applyFont="1" applyBorder="1" applyAlignment="1" applyProtection="1">
      <alignment horizontal="right" vertical="center"/>
      <protection locked="0"/>
    </xf>
    <xf numFmtId="0" fontId="10" fillId="0" borderId="15" xfId="0" applyFont="1" applyBorder="1" applyAlignment="1" applyProtection="1">
      <alignment horizontal="right" vertical="center"/>
      <protection locked="0"/>
    </xf>
    <xf numFmtId="0" fontId="12" fillId="0" borderId="15" xfId="0" applyFont="1" applyBorder="1" applyAlignment="1" applyProtection="1">
      <alignment horizontal="right" vertical="center"/>
      <protection locked="0"/>
    </xf>
  </cellXfs>
  <cellStyles count="47">
    <cellStyle name="20% - Accent1 2" xfId="1" xr:uid="{00000000-0005-0000-0000-000031000000}"/>
    <cellStyle name="20% - Accent2 2" xfId="2" xr:uid="{00000000-0005-0000-0000-000032000000}"/>
    <cellStyle name="20% - Accent3 2" xfId="3" xr:uid="{00000000-0005-0000-0000-000033000000}"/>
    <cellStyle name="20% - Accent4 2" xfId="4" xr:uid="{00000000-0005-0000-0000-000034000000}"/>
    <cellStyle name="20% - Accent5 2" xfId="5" xr:uid="{00000000-0005-0000-0000-000035000000}"/>
    <cellStyle name="20% - Accent6 2" xfId="6" xr:uid="{00000000-0005-0000-0000-000036000000}"/>
    <cellStyle name="40% - Accent1 2" xfId="7" xr:uid="{00000000-0005-0000-0000-000037000000}"/>
    <cellStyle name="40% - Accent2 2" xfId="8" xr:uid="{00000000-0005-0000-0000-000038000000}"/>
    <cellStyle name="40% - Accent3 2" xfId="9" xr:uid="{00000000-0005-0000-0000-000039000000}"/>
    <cellStyle name="40% - Accent4 2" xfId="10" xr:uid="{00000000-0005-0000-0000-00003A000000}"/>
    <cellStyle name="40% - Accent5 2" xfId="11" xr:uid="{00000000-0005-0000-0000-00003B000000}"/>
    <cellStyle name="40% - Accent6 2" xfId="12" xr:uid="{00000000-0005-0000-0000-00003C000000}"/>
    <cellStyle name="60% - Accent1 2" xfId="13" xr:uid="{00000000-0005-0000-0000-00003D000000}"/>
    <cellStyle name="60% - Accent2 2" xfId="14" xr:uid="{00000000-0005-0000-0000-00003E000000}"/>
    <cellStyle name="60% - Accent3 2" xfId="15" xr:uid="{00000000-0005-0000-0000-00003F000000}"/>
    <cellStyle name="60% - Accent4 2" xfId="16" xr:uid="{00000000-0005-0000-0000-000040000000}"/>
    <cellStyle name="60% - Accent5 2" xfId="17" xr:uid="{00000000-0005-0000-0000-000041000000}"/>
    <cellStyle name="60% - Accent6 2" xfId="18" xr:uid="{00000000-0005-0000-0000-000042000000}"/>
    <cellStyle name="Accent1 2" xfId="19" xr:uid="{00000000-0005-0000-0000-000043000000}"/>
    <cellStyle name="Accent2 2" xfId="20" xr:uid="{00000000-0005-0000-0000-000044000000}"/>
    <cellStyle name="Accent3 2" xfId="21" xr:uid="{00000000-0005-0000-0000-000045000000}"/>
    <cellStyle name="Accent4 2" xfId="22" xr:uid="{00000000-0005-0000-0000-000046000000}"/>
    <cellStyle name="Accent5 2" xfId="23" xr:uid="{00000000-0005-0000-0000-000047000000}"/>
    <cellStyle name="Accent6 2" xfId="24" xr:uid="{00000000-0005-0000-0000-000048000000}"/>
    <cellStyle name="Bad 2" xfId="25" xr:uid="{00000000-0005-0000-0000-000049000000}"/>
    <cellStyle name="Calculation 2" xfId="26" xr:uid="{00000000-0005-0000-0000-00004A000000}"/>
    <cellStyle name="Check Cell 2" xfId="27" xr:uid="{00000000-0005-0000-0000-00004B000000}"/>
    <cellStyle name="Explanatory Text 2" xfId="28" xr:uid="{00000000-0005-0000-0000-00004C000000}"/>
    <cellStyle name="Good 2" xfId="29" xr:uid="{00000000-0005-0000-0000-00004D000000}"/>
    <cellStyle name="Heading 1 2" xfId="30" xr:uid="{00000000-0005-0000-0000-00004E000000}"/>
    <cellStyle name="Heading 2 2" xfId="31" xr:uid="{00000000-0005-0000-0000-00004F000000}"/>
    <cellStyle name="Heading 3 2" xfId="32" xr:uid="{00000000-0005-0000-0000-000050000000}"/>
    <cellStyle name="Heading 4 2" xfId="33" xr:uid="{00000000-0005-0000-0000-000051000000}"/>
    <cellStyle name="Input 2" xfId="34" xr:uid="{00000000-0005-0000-0000-000052000000}"/>
    <cellStyle name="Linked Cell 2" xfId="35" xr:uid="{00000000-0005-0000-0000-000053000000}"/>
    <cellStyle name="Neutral 2" xfId="36" xr:uid="{00000000-0005-0000-0000-000054000000}"/>
    <cellStyle name="Normal" xfId="0" builtinId="0"/>
    <cellStyle name="Normal 2" xfId="37" xr:uid="{00000000-0005-0000-0000-000055000000}"/>
    <cellStyle name="Normal 2 2" xfId="38" xr:uid="{00000000-0005-0000-0000-000056000000}"/>
    <cellStyle name="Normal 3" xfId="39" xr:uid="{00000000-0005-0000-0000-000057000000}"/>
    <cellStyle name="Note 2" xfId="40" xr:uid="{00000000-0005-0000-0000-000058000000}"/>
    <cellStyle name="Output 2" xfId="41" xr:uid="{00000000-0005-0000-0000-000059000000}"/>
    <cellStyle name="Percent 2" xfId="42" xr:uid="{00000000-0005-0000-0000-00005A000000}"/>
    <cellStyle name="Style 1" xfId="43" xr:uid="{00000000-0005-0000-0000-00005B000000}"/>
    <cellStyle name="Title 2" xfId="44" xr:uid="{00000000-0005-0000-0000-00005C000000}"/>
    <cellStyle name="Total 2" xfId="45" xr:uid="{00000000-0005-0000-0000-00005D000000}"/>
    <cellStyle name="Warning Text 2" xfId="46" xr:uid="{00000000-0005-0000-0000-00005E000000}"/>
  </cellStyles>
  <dxfs count="0"/>
  <tableStyles count="0" defaultTableStyle="TableStyleMedium9" defaultPivotStyle="PivotStyleLight16"/>
  <colors>
    <mruColors>
      <color rgb="FFFFCCFF"/>
      <color rgb="FFFFFFCC"/>
      <color rgb="FFFFAF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www.wps.cn/officeDocument/2023/relationships/customStorage" Target="customStorage/customStorage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673485</xdr:colOff>
      <xdr:row>1</xdr:row>
      <xdr:rowOff>19242</xdr:rowOff>
    </xdr:from>
    <xdr:to>
      <xdr:col>8</xdr:col>
      <xdr:colOff>0</xdr:colOff>
      <xdr:row>3</xdr:row>
      <xdr:rowOff>38485</xdr:rowOff>
    </xdr:to>
    <xdr:pic>
      <xdr:nvPicPr>
        <xdr:cNvPr id="12" name="Picture 11" descr="A blue and white logo&#10;&#10;Description automatically generated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747" t="16158" b="16631"/>
        <a:stretch>
          <a:fillRect/>
        </a:stretch>
      </xdr:blipFill>
      <xdr:spPr>
        <a:xfrm>
          <a:off x="6426200" y="217170"/>
          <a:ext cx="1214755" cy="41529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P111"/>
  <sheetViews>
    <sheetView tabSelected="1" zoomScale="99" zoomScaleNormal="99" workbookViewId="0">
      <selection activeCell="B1" sqref="B1:H4"/>
    </sheetView>
  </sheetViews>
  <sheetFormatPr defaultColWidth="9.109375" defaultRowHeight="13.8"/>
  <cols>
    <col min="1" max="1" width="9.109375" style="15"/>
    <col min="2" max="2" width="9.6640625" style="16" customWidth="1"/>
    <col min="3" max="3" width="20.5546875" style="16" customWidth="1"/>
    <col min="4" max="4" width="13.6640625" style="16" customWidth="1"/>
    <col min="5" max="5" width="13.33203125" style="16" customWidth="1"/>
    <col min="6" max="6" width="12.33203125" style="16" customWidth="1"/>
    <col min="7" max="7" width="7.44140625" style="16" customWidth="1"/>
    <col min="8" max="8" width="28.33203125" style="17" customWidth="1"/>
    <col min="9" max="12" width="9.109375" style="15"/>
    <col min="13" max="13" width="9.109375" style="15" hidden="1" customWidth="1"/>
    <col min="14" max="15" width="9.109375" style="15"/>
    <col min="16" max="16" width="8" style="15" customWidth="1"/>
    <col min="17" max="17" width="12.88671875" style="15" customWidth="1"/>
    <col min="18" max="18" width="14.6640625" style="15" customWidth="1"/>
    <col min="19" max="19" width="8" style="15" customWidth="1"/>
    <col min="20" max="20" width="26.6640625" style="15" customWidth="1"/>
    <col min="21" max="21" width="27.5546875" style="15" customWidth="1"/>
    <col min="22" max="22" width="11.33203125" style="15" customWidth="1"/>
    <col min="23" max="42" width="9.109375" style="15"/>
    <col min="43" max="16384" width="9.109375" style="16"/>
  </cols>
  <sheetData>
    <row r="1" spans="1:42" ht="15.6" customHeight="1">
      <c r="A1" s="18"/>
      <c r="B1" s="94" t="s">
        <v>0</v>
      </c>
      <c r="C1" s="95"/>
      <c r="D1" s="95"/>
      <c r="E1" s="95"/>
      <c r="F1" s="95"/>
      <c r="G1" s="95"/>
      <c r="H1" s="96"/>
      <c r="P1" s="84"/>
      <c r="Q1" s="85"/>
      <c r="R1" s="85"/>
      <c r="S1" s="85"/>
      <c r="T1" s="89"/>
      <c r="U1" s="89"/>
      <c r="V1" s="89"/>
    </row>
    <row r="2" spans="1:42" ht="15.6" customHeight="1">
      <c r="A2" s="18"/>
      <c r="B2" s="97"/>
      <c r="C2" s="98"/>
      <c r="D2" s="98"/>
      <c r="E2" s="98"/>
      <c r="F2" s="98"/>
      <c r="G2" s="98"/>
      <c r="H2" s="99"/>
      <c r="P2" s="85"/>
      <c r="Q2" s="85"/>
      <c r="R2" s="85"/>
      <c r="S2" s="85"/>
      <c r="T2" s="85"/>
      <c r="U2" s="85"/>
      <c r="V2" s="85"/>
      <c r="AO2" s="16"/>
      <c r="AP2" s="16"/>
    </row>
    <row r="3" spans="1:42" ht="15.6" customHeight="1">
      <c r="A3" s="18"/>
      <c r="B3" s="97"/>
      <c r="C3" s="98"/>
      <c r="D3" s="98"/>
      <c r="E3" s="98"/>
      <c r="F3" s="98"/>
      <c r="G3" s="98"/>
      <c r="H3" s="99"/>
      <c r="P3" s="85"/>
      <c r="Q3" s="90"/>
      <c r="R3" s="90"/>
      <c r="S3" s="85"/>
      <c r="T3" s="85"/>
      <c r="U3" s="85"/>
      <c r="V3" s="85"/>
      <c r="AO3" s="16"/>
      <c r="AP3" s="16"/>
    </row>
    <row r="4" spans="1:42" ht="41.25" customHeight="1">
      <c r="A4" s="18"/>
      <c r="B4" s="100"/>
      <c r="C4" s="101"/>
      <c r="D4" s="101"/>
      <c r="E4" s="101"/>
      <c r="F4" s="101"/>
      <c r="G4" s="101"/>
      <c r="H4" s="102"/>
      <c r="P4" s="85"/>
      <c r="Q4" s="90"/>
      <c r="R4" s="90"/>
      <c r="S4" s="85"/>
      <c r="T4" s="85"/>
      <c r="U4" s="85"/>
      <c r="V4" s="85"/>
      <c r="AO4" s="16"/>
      <c r="AP4" s="16"/>
    </row>
    <row r="5" spans="1:42" ht="15.6" customHeight="1">
      <c r="A5" s="18"/>
      <c r="B5" s="19"/>
      <c r="C5" s="20"/>
      <c r="D5" s="20"/>
      <c r="E5" s="20"/>
      <c r="F5" s="21"/>
      <c r="G5" s="21"/>
      <c r="H5" s="22"/>
      <c r="P5" s="85"/>
      <c r="Q5" s="90"/>
      <c r="R5" s="90"/>
      <c r="S5" s="85"/>
      <c r="T5" s="85"/>
      <c r="U5" s="85"/>
      <c r="V5" s="85"/>
      <c r="AO5" s="16"/>
      <c r="AP5" s="16"/>
    </row>
    <row r="6" spans="1:42" ht="29.25" customHeight="1">
      <c r="A6" s="18"/>
      <c r="B6" s="23" t="s">
        <v>1</v>
      </c>
      <c r="C6" s="103" t="s">
        <v>2</v>
      </c>
      <c r="D6" s="104"/>
      <c r="E6" s="24"/>
      <c r="F6" s="25" t="s">
        <v>3</v>
      </c>
      <c r="G6" s="105" t="s">
        <v>4</v>
      </c>
      <c r="H6" s="106"/>
      <c r="L6" s="86"/>
      <c r="M6" s="86" t="s">
        <v>4</v>
      </c>
      <c r="N6" s="86"/>
      <c r="O6" s="87"/>
      <c r="P6" s="85"/>
      <c r="Q6" s="90"/>
      <c r="R6" s="90"/>
      <c r="S6" s="85"/>
      <c r="T6" s="85"/>
      <c r="U6" s="85"/>
      <c r="V6" s="85"/>
      <c r="AO6" s="16"/>
      <c r="AP6" s="16"/>
    </row>
    <row r="7" spans="1:42" ht="28.5" customHeight="1">
      <c r="A7" s="18"/>
      <c r="B7" s="26" t="s">
        <v>5</v>
      </c>
      <c r="C7" s="27"/>
      <c r="D7" s="28"/>
      <c r="E7" s="29" t="s">
        <v>6</v>
      </c>
      <c r="F7" s="30" t="s">
        <v>7</v>
      </c>
      <c r="G7" s="28"/>
      <c r="H7" s="31"/>
      <c r="L7" s="86"/>
      <c r="M7" s="86" t="s">
        <v>8</v>
      </c>
      <c r="N7" s="86"/>
      <c r="O7" s="87"/>
      <c r="P7" s="85"/>
      <c r="Q7" s="90"/>
      <c r="R7" s="90"/>
      <c r="S7" s="85"/>
      <c r="T7" s="85"/>
      <c r="U7" s="85"/>
      <c r="V7" s="85"/>
      <c r="AO7" s="16"/>
      <c r="AP7" s="16"/>
    </row>
    <row r="8" spans="1:42" ht="12.75" customHeight="1">
      <c r="A8" s="18"/>
      <c r="B8" s="32"/>
      <c r="C8" s="33"/>
      <c r="D8" s="33"/>
      <c r="E8" s="33"/>
      <c r="F8" s="33"/>
      <c r="G8" s="33"/>
      <c r="H8" s="34"/>
      <c r="L8" s="86"/>
      <c r="M8" s="86" t="s">
        <v>9</v>
      </c>
      <c r="N8" s="86"/>
      <c r="O8" s="87"/>
      <c r="P8" s="85"/>
      <c r="Q8" s="90"/>
      <c r="R8" s="90"/>
      <c r="S8" s="85"/>
      <c r="T8" s="85"/>
      <c r="U8" s="85"/>
      <c r="V8" s="85"/>
      <c r="AO8" s="16"/>
      <c r="AP8" s="16"/>
    </row>
    <row r="9" spans="1:42" ht="3" customHeight="1">
      <c r="A9" s="18"/>
      <c r="B9" s="35"/>
      <c r="C9" s="36"/>
      <c r="D9" s="36"/>
      <c r="E9" s="36"/>
      <c r="F9" s="36"/>
      <c r="G9" s="36"/>
      <c r="H9" s="37"/>
      <c r="L9" s="86"/>
      <c r="M9" s="86"/>
      <c r="N9" s="86"/>
      <c r="O9" s="87"/>
      <c r="P9" s="85"/>
      <c r="Q9" s="85"/>
      <c r="R9" s="85"/>
      <c r="S9" s="85"/>
      <c r="T9" s="85"/>
      <c r="U9" s="85"/>
      <c r="V9" s="85"/>
      <c r="AO9" s="16"/>
      <c r="AP9" s="16"/>
    </row>
    <row r="10" spans="1:42" s="12" customFormat="1" ht="18.149999999999999" customHeight="1">
      <c r="A10" s="38"/>
      <c r="B10" s="107" t="s">
        <v>10</v>
      </c>
      <c r="C10" s="108"/>
      <c r="D10" s="108"/>
      <c r="E10" s="108"/>
      <c r="F10" s="108"/>
      <c r="G10" s="108"/>
      <c r="H10" s="109"/>
      <c r="L10" s="86"/>
      <c r="M10" s="86" t="s">
        <v>11</v>
      </c>
      <c r="N10" s="86"/>
      <c r="O10" s="88"/>
      <c r="P10" s="85"/>
      <c r="Q10" s="85"/>
      <c r="R10" s="85"/>
      <c r="S10" s="85"/>
      <c r="T10" s="85"/>
      <c r="U10" s="85"/>
      <c r="V10" s="85"/>
    </row>
    <row r="11" spans="1:42" s="12" customFormat="1" ht="18.149999999999999" customHeight="1">
      <c r="A11" s="38"/>
      <c r="B11" s="39" t="s">
        <v>12</v>
      </c>
      <c r="C11" s="40"/>
      <c r="D11" s="40"/>
      <c r="E11" s="40"/>
      <c r="F11" s="40"/>
      <c r="G11" s="40"/>
      <c r="H11" s="41"/>
      <c r="L11" s="88"/>
      <c r="M11" s="88"/>
      <c r="N11" s="88"/>
      <c r="O11" s="88"/>
    </row>
    <row r="12" spans="1:42" s="12" customFormat="1" ht="18.149999999999999" customHeight="1">
      <c r="A12" s="38"/>
      <c r="B12" s="42"/>
      <c r="C12" s="43"/>
      <c r="D12" s="43"/>
      <c r="E12" s="43"/>
      <c r="F12" s="43"/>
      <c r="G12" s="43"/>
      <c r="H12" s="41"/>
      <c r="L12" s="88"/>
      <c r="M12" s="85" t="s">
        <v>7</v>
      </c>
      <c r="N12" s="88"/>
      <c r="O12" s="88"/>
    </row>
    <row r="13" spans="1:42" ht="19.5" customHeight="1">
      <c r="A13" s="18"/>
      <c r="B13" s="44"/>
      <c r="C13" s="45"/>
      <c r="D13" s="45"/>
      <c r="E13" s="46"/>
      <c r="F13" s="47"/>
      <c r="G13" s="47"/>
      <c r="H13" s="48"/>
      <c r="M13" s="12" t="s">
        <v>13</v>
      </c>
    </row>
    <row r="14" spans="1:42" s="13" customFormat="1" ht="34.5" customHeight="1">
      <c r="A14" s="49"/>
      <c r="B14" s="50" t="s">
        <v>14</v>
      </c>
      <c r="C14" s="51" t="s">
        <v>15</v>
      </c>
      <c r="D14" s="51" t="s">
        <v>16</v>
      </c>
      <c r="E14" s="51" t="s">
        <v>17</v>
      </c>
      <c r="F14" s="51" t="s">
        <v>18</v>
      </c>
      <c r="G14" s="51" t="s">
        <v>19</v>
      </c>
      <c r="H14" s="52" t="s">
        <v>20</v>
      </c>
      <c r="I14" s="85"/>
      <c r="J14" s="85"/>
      <c r="K14" s="85"/>
      <c r="L14" s="85"/>
      <c r="M14" s="12" t="s">
        <v>21</v>
      </c>
      <c r="N14" s="85"/>
      <c r="O14" s="85"/>
      <c r="P14" s="85"/>
      <c r="Q14" s="85"/>
      <c r="R14" s="85"/>
      <c r="S14" s="85"/>
      <c r="T14" s="85"/>
      <c r="U14" s="85"/>
      <c r="V14" s="85"/>
      <c r="W14" s="85"/>
      <c r="X14" s="85"/>
      <c r="Y14" s="85"/>
      <c r="Z14" s="85"/>
      <c r="AA14" s="85"/>
      <c r="AB14" s="85"/>
      <c r="AC14" s="85"/>
      <c r="AD14" s="85"/>
      <c r="AE14" s="85"/>
      <c r="AF14" s="85"/>
      <c r="AG14" s="85"/>
      <c r="AH14" s="85"/>
      <c r="AI14" s="85"/>
      <c r="AJ14" s="85"/>
      <c r="AK14" s="85"/>
      <c r="AL14" s="85"/>
    </row>
    <row r="15" spans="1:42" s="14" customFormat="1" ht="18.600000000000001" customHeight="1">
      <c r="A15" s="53"/>
      <c r="B15" s="54">
        <f>IF(DAY(EOMONTH($H$7,0))&gt;=(ROW($B15)-14),ROW($B15)-14,"")</f>
        <v>1</v>
      </c>
      <c r="C15" s="55" t="str">
        <f>IF($B15&lt;&gt;"",TEXT($H$7+ROW($B15)-15,"dddd"),"")</f>
        <v>Saturday</v>
      </c>
      <c r="D15" s="56"/>
      <c r="E15" s="57"/>
      <c r="F15" s="57"/>
      <c r="G15" s="58"/>
      <c r="H15" s="59" t="str">
        <f>IF(ISNA(VLOOKUP($D15,Ranges!$C$4:$G$5,9,FALSE))," ",(VLOOKUP($D15,Ranges!$C$4:$G$5,9,FALSE)))</f>
        <v xml:space="preserve"> </v>
      </c>
      <c r="I15" s="81"/>
      <c r="J15" s="81"/>
      <c r="K15" s="81"/>
      <c r="L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</row>
    <row r="16" spans="1:42" s="14" customFormat="1" ht="18.600000000000001" customHeight="1">
      <c r="A16" s="53"/>
      <c r="B16" s="54">
        <f t="shared" ref="B16:B45" si="0">IF(DAY(EOMONTH($H$7,0))&gt;=(ROW($B16)-14),ROW($B16)-14,"")</f>
        <v>2</v>
      </c>
      <c r="C16" s="55" t="str">
        <f t="shared" ref="C16:C45" si="1">IF($B16&lt;&gt;"",TEXT($H$7+ROW($B16)-15,"dddd"),"")</f>
        <v>Sunday</v>
      </c>
      <c r="D16" s="60"/>
      <c r="E16" s="57"/>
      <c r="F16" s="57"/>
      <c r="G16" s="58"/>
      <c r="H16" s="59" t="str">
        <f>IF(ISNA(VLOOKUP($D16,Ranges!$C$4:$G$5,9,FALSE))," ",(VLOOKUP($D16,Ranges!$C$4:$G$5,9,FALSE)))</f>
        <v xml:space="preserve"> </v>
      </c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</row>
    <row r="17" spans="1:38" s="14" customFormat="1" ht="18.600000000000001" customHeight="1">
      <c r="A17" s="53"/>
      <c r="B17" s="54">
        <f t="shared" si="0"/>
        <v>3</v>
      </c>
      <c r="C17" s="55" t="str">
        <f t="shared" si="1"/>
        <v>Monday</v>
      </c>
      <c r="D17" s="56"/>
      <c r="E17" s="57"/>
      <c r="F17" s="57"/>
      <c r="G17" s="58"/>
      <c r="H17" s="59" t="str">
        <f>IF(ISNA(VLOOKUP($D17,Ranges!$C$4:$G$5,9,FALSE))," ",(VLOOKUP($D17,Ranges!$C$4:$G$5,9,FALSE)))</f>
        <v xml:space="preserve"> </v>
      </c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</row>
    <row r="18" spans="1:38" s="14" customFormat="1" ht="18.600000000000001" customHeight="1">
      <c r="A18" s="53"/>
      <c r="B18" s="54">
        <f t="shared" si="0"/>
        <v>4</v>
      </c>
      <c r="C18" s="55" t="str">
        <f t="shared" si="1"/>
        <v>Tuesday</v>
      </c>
      <c r="D18" s="60"/>
      <c r="E18" s="57"/>
      <c r="F18" s="57"/>
      <c r="G18" s="58"/>
      <c r="H18" s="59" t="str">
        <f>IF(ISNA(VLOOKUP($D18,Ranges!$C$4:$G$5,9,FALSE))," ",(VLOOKUP($D18,Ranges!$C$4:$G$5,9,FALSE)))</f>
        <v xml:space="preserve"> </v>
      </c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</row>
    <row r="19" spans="1:38" s="14" customFormat="1" ht="18.600000000000001" customHeight="1">
      <c r="A19" s="53"/>
      <c r="B19" s="54">
        <f t="shared" si="0"/>
        <v>5</v>
      </c>
      <c r="C19" s="55" t="str">
        <f t="shared" si="1"/>
        <v>Wednesday</v>
      </c>
      <c r="D19" s="60"/>
      <c r="E19" s="57"/>
      <c r="F19" s="57"/>
      <c r="G19" s="58" t="str">
        <f>IF(ISNA(VLOOKUP($D19,Ranges!$C$4:$F$5,4,FALSE))," ",(VLOOKUP($D19,Ranges!$C$4:$F$5,4,FALSE)))</f>
        <v xml:space="preserve"> </v>
      </c>
      <c r="H19" s="59" t="str">
        <f>IF(ISNA(VLOOKUP($D19,Ranges!$C$4:$G$5,9,FALSE))," ",(VLOOKUP($D19,Ranges!$C$4:$G$5,9,FALSE)))</f>
        <v xml:space="preserve"> </v>
      </c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</row>
    <row r="20" spans="1:38" s="14" customFormat="1" ht="18.600000000000001" customHeight="1">
      <c r="A20" s="53"/>
      <c r="B20" s="54">
        <f t="shared" si="0"/>
        <v>6</v>
      </c>
      <c r="C20" s="55" t="str">
        <f t="shared" si="1"/>
        <v>Thursday</v>
      </c>
      <c r="D20" s="60"/>
      <c r="E20" s="57"/>
      <c r="F20" s="57"/>
      <c r="G20" s="58" t="str">
        <f>IF(ISNA(VLOOKUP($D20,Ranges!$C$4:$F$5,4,FALSE))," ",(VLOOKUP($D20,Ranges!$C$4:$F$5,4,FALSE)))</f>
        <v xml:space="preserve"> </v>
      </c>
      <c r="H20" s="59" t="str">
        <f>IF(ISNA(VLOOKUP($D20,Ranges!$C$4:$G$5,9,FALSE))," ",(VLOOKUP($D20,Ranges!$C$4:$G$5,9,FALSE)))</f>
        <v xml:space="preserve"> </v>
      </c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</row>
    <row r="21" spans="1:38" s="14" customFormat="1" ht="18.600000000000001" customHeight="1">
      <c r="A21" s="53"/>
      <c r="B21" s="54">
        <f t="shared" si="0"/>
        <v>7</v>
      </c>
      <c r="C21" s="55" t="str">
        <f t="shared" si="1"/>
        <v>Friday</v>
      </c>
      <c r="D21" s="60"/>
      <c r="E21" s="57"/>
      <c r="F21" s="57"/>
      <c r="G21" s="58"/>
      <c r="H21" s="59" t="str">
        <f>IF(ISNA(VLOOKUP($D21,Ranges!$C$4:$G$5,9,FALSE))," ",(VLOOKUP($D21,Ranges!$C$4:$G$5,9,FALSE)))</f>
        <v xml:space="preserve"> </v>
      </c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</row>
    <row r="22" spans="1:38" s="14" customFormat="1" ht="18.600000000000001" customHeight="1">
      <c r="A22" s="53"/>
      <c r="B22" s="54">
        <f t="shared" si="0"/>
        <v>8</v>
      </c>
      <c r="C22" s="55" t="str">
        <f t="shared" si="1"/>
        <v>Saturday</v>
      </c>
      <c r="D22" s="56"/>
      <c r="E22" s="57"/>
      <c r="F22" s="57"/>
      <c r="G22" s="58"/>
      <c r="H22" s="59" t="str">
        <f>IF(ISNA(VLOOKUP($D22,Ranges!$C$4:$G$5,9,FALSE))," ",(VLOOKUP($D22,Ranges!$C$4:$G$5,9,FALSE)))</f>
        <v xml:space="preserve"> </v>
      </c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</row>
    <row r="23" spans="1:38" s="14" customFormat="1" ht="18.600000000000001" customHeight="1">
      <c r="A23" s="53"/>
      <c r="B23" s="54">
        <f t="shared" si="0"/>
        <v>9</v>
      </c>
      <c r="C23" s="55" t="str">
        <f t="shared" si="1"/>
        <v>Sunday</v>
      </c>
      <c r="D23" s="56"/>
      <c r="E23" s="57"/>
      <c r="F23" s="57"/>
      <c r="G23" s="58"/>
      <c r="H23" s="59" t="str">
        <f>IF(ISNA(VLOOKUP($D23,Ranges!$C$4:$G$5,9,FALSE))," ",(VLOOKUP($D23,Ranges!$C$4:$G$5,9,FALSE)))</f>
        <v xml:space="preserve"> </v>
      </c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</row>
    <row r="24" spans="1:38" s="14" customFormat="1" ht="18.600000000000001" customHeight="1">
      <c r="A24" s="53"/>
      <c r="B24" s="54">
        <f t="shared" si="0"/>
        <v>10</v>
      </c>
      <c r="C24" s="55" t="str">
        <f t="shared" si="1"/>
        <v>Monday</v>
      </c>
      <c r="D24" s="60"/>
      <c r="E24" s="57"/>
      <c r="F24" s="57"/>
      <c r="G24" s="58"/>
      <c r="H24" s="59" t="str">
        <f>IF(ISNA(VLOOKUP($D24,Ranges!$C$4:$G$5,9,FALSE))," ",(VLOOKUP($D24,Ranges!$C$4:$G$5,9,FALSE)))</f>
        <v xml:space="preserve"> </v>
      </c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</row>
    <row r="25" spans="1:38" s="14" customFormat="1" ht="18.600000000000001" customHeight="1">
      <c r="A25" s="53"/>
      <c r="B25" s="54">
        <f t="shared" si="0"/>
        <v>11</v>
      </c>
      <c r="C25" s="55" t="str">
        <f t="shared" si="1"/>
        <v>Tuesday</v>
      </c>
      <c r="D25" s="60"/>
      <c r="E25" s="57"/>
      <c r="F25" s="57"/>
      <c r="G25" s="58"/>
      <c r="H25" s="59" t="str">
        <f>IF(ISNA(VLOOKUP($D25,Ranges!$C$4:$G$5,9,FALSE))," ",(VLOOKUP($D25,Ranges!$C$4:$G$5,9,FALSE)))</f>
        <v xml:space="preserve"> </v>
      </c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</row>
    <row r="26" spans="1:38" s="14" customFormat="1" ht="18.600000000000001" customHeight="1">
      <c r="A26" s="53"/>
      <c r="B26" s="54">
        <f t="shared" si="0"/>
        <v>12</v>
      </c>
      <c r="C26" s="55" t="str">
        <f t="shared" si="1"/>
        <v>Wednesday</v>
      </c>
      <c r="D26" s="60"/>
      <c r="E26" s="57"/>
      <c r="F26" s="57"/>
      <c r="G26" s="58"/>
      <c r="H26" s="59" t="str">
        <f>IF(ISNA(VLOOKUP($D26,Ranges!$C$4:$G$5,9,FALSE))," ",(VLOOKUP($D26,Ranges!$C$4:$G$5,9,FALSE)))</f>
        <v xml:space="preserve"> </v>
      </c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</row>
    <row r="27" spans="1:38" s="14" customFormat="1" ht="18.600000000000001" customHeight="1">
      <c r="A27" s="53"/>
      <c r="B27" s="54">
        <f t="shared" si="0"/>
        <v>13</v>
      </c>
      <c r="C27" s="55" t="str">
        <f t="shared" si="1"/>
        <v>Thursday</v>
      </c>
      <c r="D27" s="56"/>
      <c r="E27" s="57" t="str">
        <f>IF(ISNA(VLOOKUP($D27,Ranges!$C$4:$F$5,2,FALSE))," ",(VLOOKUP($D27,Ranges!$C$4:$F$5,2,FALSE)))</f>
        <v xml:space="preserve"> </v>
      </c>
      <c r="F27" s="57"/>
      <c r="G27" s="58" t="str">
        <f>IF(ISNA(VLOOKUP($D27,Ranges!$C$4:$F$5,4,FALSE))," ",(VLOOKUP($D27,Ranges!$C$4:$F$5,4,FALSE)))</f>
        <v xml:space="preserve"> </v>
      </c>
      <c r="H27" s="59" t="str">
        <f>IF(ISNA(VLOOKUP($D27,Ranges!$C$4:$G$5,9,FALSE))," ",(VLOOKUP($D27,Ranges!$C$4:$G$5,9,FALSE)))</f>
        <v xml:space="preserve"> </v>
      </c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</row>
    <row r="28" spans="1:38" s="14" customFormat="1" ht="18.600000000000001" customHeight="1">
      <c r="A28" s="53"/>
      <c r="B28" s="54">
        <f t="shared" si="0"/>
        <v>14</v>
      </c>
      <c r="C28" s="55" t="str">
        <f t="shared" si="1"/>
        <v>Friday</v>
      </c>
      <c r="D28" s="56"/>
      <c r="E28" s="57"/>
      <c r="F28" s="57"/>
      <c r="G28" s="58"/>
      <c r="H28" s="59" t="str">
        <f>IF(ISNA(VLOOKUP($D28,Ranges!$C$4:$G$5,9,FALSE))," ",(VLOOKUP($D28,Ranges!$C$4:$G$5,9,FALSE)))</f>
        <v xml:space="preserve"> </v>
      </c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</row>
    <row r="29" spans="1:38" s="14" customFormat="1" ht="18.600000000000001" customHeight="1">
      <c r="A29" s="53"/>
      <c r="B29" s="54">
        <f t="shared" si="0"/>
        <v>15</v>
      </c>
      <c r="C29" s="55" t="str">
        <f t="shared" si="1"/>
        <v>Saturday</v>
      </c>
      <c r="D29" s="56"/>
      <c r="E29" s="57" t="str">
        <f>IF(ISNA(VLOOKUP($D29,Ranges!$C$4:$F$5,2,FALSE))," ",(VLOOKUP($D29,Ranges!$C$4:$F$5,2,FALSE)))</f>
        <v xml:space="preserve"> </v>
      </c>
      <c r="F29" s="57" t="str">
        <f>IF(ISNA(VLOOKUP($D29,Ranges!$C$4:$F$5,3,FALSE))," ",(VLOOKUP($D29,Ranges!$C$4:$F$5,3,FALSE)))</f>
        <v xml:space="preserve"> </v>
      </c>
      <c r="G29" s="58" t="str">
        <f>IF(ISNA(VLOOKUP($D29,Ranges!$C$4:$F$5,4,FALSE))," ",(VLOOKUP($D29,Ranges!$C$4:$F$5,4,FALSE)))</f>
        <v xml:space="preserve"> </v>
      </c>
      <c r="H29" s="59" t="str">
        <f>IF(ISNA(VLOOKUP($D29,Ranges!$C$4:$G$5,9,FALSE))," ",(VLOOKUP($D29,Ranges!$C$4:$G$5,9,FALSE)))</f>
        <v xml:space="preserve"> </v>
      </c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</row>
    <row r="30" spans="1:38" s="14" customFormat="1" ht="18.600000000000001" customHeight="1">
      <c r="A30" s="53"/>
      <c r="B30" s="54">
        <f t="shared" si="0"/>
        <v>16</v>
      </c>
      <c r="C30" s="55" t="str">
        <f t="shared" si="1"/>
        <v>Sunday</v>
      </c>
      <c r="D30" s="60"/>
      <c r="E30" s="57"/>
      <c r="F30" s="57"/>
      <c r="G30" s="58"/>
      <c r="H30" s="59" t="str">
        <f>IF(ISNA(VLOOKUP($D30,Ranges!$C$4:$G$5,9,FALSE))," ",(VLOOKUP($D30,Ranges!$C$4:$G$5,9,FALSE)))</f>
        <v xml:space="preserve"> </v>
      </c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</row>
    <row r="31" spans="1:38" s="14" customFormat="1" ht="18.600000000000001" customHeight="1">
      <c r="A31" s="53"/>
      <c r="B31" s="54">
        <f t="shared" si="0"/>
        <v>17</v>
      </c>
      <c r="C31" s="55" t="str">
        <f t="shared" si="1"/>
        <v>Monday</v>
      </c>
      <c r="D31" s="60"/>
      <c r="E31" s="57"/>
      <c r="F31" s="57"/>
      <c r="G31" s="58"/>
      <c r="H31" s="59" t="str">
        <f>IF(ISNA(VLOOKUP($D31,Ranges!$C$4:$G$5,9,FALSE))," ",(VLOOKUP($D31,Ranges!$C$4:$G$5,9,FALSE)))</f>
        <v xml:space="preserve"> </v>
      </c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</row>
    <row r="32" spans="1:38" s="14" customFormat="1" ht="18.600000000000001" customHeight="1">
      <c r="A32" s="53"/>
      <c r="B32" s="54">
        <f t="shared" si="0"/>
        <v>18</v>
      </c>
      <c r="C32" s="55" t="str">
        <f t="shared" si="1"/>
        <v>Tuesday</v>
      </c>
      <c r="D32" s="60"/>
      <c r="E32" s="57"/>
      <c r="F32" s="57"/>
      <c r="G32" s="58"/>
      <c r="H32" s="59" t="str">
        <f>IF(ISNA(VLOOKUP($D32,Ranges!$C$4:$G$5,9,FALSE))," ",(VLOOKUP($D32,Ranges!$C$4:$G$5,9,FALSE)))</f>
        <v xml:space="preserve"> </v>
      </c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</row>
    <row r="33" spans="1:42" s="14" customFormat="1" ht="18.600000000000001" customHeight="1">
      <c r="A33" s="53"/>
      <c r="B33" s="54">
        <f t="shared" si="0"/>
        <v>19</v>
      </c>
      <c r="C33" s="55" t="str">
        <f t="shared" si="1"/>
        <v>Wednesday</v>
      </c>
      <c r="D33" s="60"/>
      <c r="E33" s="57"/>
      <c r="F33" s="57"/>
      <c r="G33" s="58"/>
      <c r="H33" s="59" t="str">
        <f>IF(ISNA(VLOOKUP($D33,Ranges!$C$4:$G$5,9,FALSE))," ",(VLOOKUP($D33,Ranges!$C$4:$G$5,9,FALSE)))</f>
        <v xml:space="preserve"> </v>
      </c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</row>
    <row r="34" spans="1:42" s="14" customFormat="1" ht="18.600000000000001" customHeight="1">
      <c r="A34" s="53"/>
      <c r="B34" s="54">
        <f t="shared" si="0"/>
        <v>20</v>
      </c>
      <c r="C34" s="55" t="str">
        <f t="shared" si="1"/>
        <v>Thursday</v>
      </c>
      <c r="D34" s="60"/>
      <c r="E34" s="57"/>
      <c r="F34" s="57"/>
      <c r="G34" s="58"/>
      <c r="H34" s="59" t="str">
        <f>IF(ISNA(VLOOKUP($D34,Ranges!$C$4:$G$5,9,FALSE))," ",(VLOOKUP($D34,Ranges!$C$4:$G$5,9,FALSE)))</f>
        <v xml:space="preserve"> </v>
      </c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</row>
    <row r="35" spans="1:42" s="14" customFormat="1" ht="18.600000000000001" customHeight="1">
      <c r="A35" s="53"/>
      <c r="B35" s="54">
        <f t="shared" si="0"/>
        <v>21</v>
      </c>
      <c r="C35" s="55" t="str">
        <f t="shared" si="1"/>
        <v>Friday</v>
      </c>
      <c r="D35" s="60"/>
      <c r="E35" s="57"/>
      <c r="F35" s="57"/>
      <c r="G35" s="58"/>
      <c r="H35" s="59" t="str">
        <f>IF(ISNA(VLOOKUP($D35,Ranges!$C$4:$G$5,9,FALSE))," ",(VLOOKUP($D35,Ranges!$C$4:$G$5,9,FALSE)))</f>
        <v xml:space="preserve"> </v>
      </c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</row>
    <row r="36" spans="1:42" s="14" customFormat="1" ht="18.600000000000001" customHeight="1">
      <c r="A36" s="53"/>
      <c r="B36" s="54">
        <f t="shared" si="0"/>
        <v>22</v>
      </c>
      <c r="C36" s="55" t="str">
        <f t="shared" si="1"/>
        <v>Saturday</v>
      </c>
      <c r="D36" s="60"/>
      <c r="E36" s="57"/>
      <c r="F36" s="57"/>
      <c r="G36" s="58" t="str">
        <f>IF(ISNA(VLOOKUP($D36,Ranges!$C$4:$F$5,4,FALSE))," ",(VLOOKUP($D36,Ranges!$C$4:$F$5,4,FALSE)))</f>
        <v xml:space="preserve"> </v>
      </c>
      <c r="H36" s="59" t="str">
        <f>IF(ISNA(VLOOKUP($D36,Ranges!$C$4:$G$5,9,FALSE))," ",(VLOOKUP($D36,Ranges!$C$4:$G$5,9,FALSE)))</f>
        <v xml:space="preserve"> </v>
      </c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</row>
    <row r="37" spans="1:42" s="14" customFormat="1" ht="18.600000000000001" customHeight="1">
      <c r="A37" s="53"/>
      <c r="B37" s="54">
        <f t="shared" si="0"/>
        <v>23</v>
      </c>
      <c r="C37" s="55" t="str">
        <f t="shared" si="1"/>
        <v>Sunday</v>
      </c>
      <c r="D37" s="60"/>
      <c r="E37" s="57"/>
      <c r="F37" s="57"/>
      <c r="G37" s="58"/>
      <c r="H37" s="59" t="str">
        <f>IF(ISNA(VLOOKUP($D37,Ranges!$C$4:$G$5,9,FALSE))," ",(VLOOKUP($D37,Ranges!$C$4:$G$5,9,FALSE)))</f>
        <v xml:space="preserve"> </v>
      </c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</row>
    <row r="38" spans="1:42" s="14" customFormat="1" ht="18.600000000000001" customHeight="1">
      <c r="A38" s="53"/>
      <c r="B38" s="54">
        <f t="shared" si="0"/>
        <v>24</v>
      </c>
      <c r="C38" s="55" t="str">
        <f t="shared" si="1"/>
        <v>Monday</v>
      </c>
      <c r="D38" s="60"/>
      <c r="E38" s="57"/>
      <c r="F38" s="57"/>
      <c r="G38" s="58" t="str">
        <f>IF(ISNA(VLOOKUP($D38,Ranges!$C$4:$F$5,4,FALSE))," ",(VLOOKUP($D38,Ranges!$C$4:$F$5,4,FALSE)))</f>
        <v xml:space="preserve"> </v>
      </c>
      <c r="H38" s="59" t="str">
        <f>IF(ISNA(VLOOKUP($D38,Ranges!$C$4:$G$5,9,FALSE))," ",(VLOOKUP($D38,Ranges!$C$4:$G$5,9,FALSE)))</f>
        <v xml:space="preserve"> </v>
      </c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</row>
    <row r="39" spans="1:42" s="14" customFormat="1" ht="18.600000000000001" customHeight="1">
      <c r="A39" s="53"/>
      <c r="B39" s="54">
        <f t="shared" si="0"/>
        <v>25</v>
      </c>
      <c r="C39" s="55" t="str">
        <f t="shared" si="1"/>
        <v>Tuesday</v>
      </c>
      <c r="D39" s="60"/>
      <c r="E39" s="57"/>
      <c r="F39" s="57"/>
      <c r="G39" s="58" t="str">
        <f>IF(ISNA(VLOOKUP($D39,Ranges!$C$4:$F$5,4,FALSE))," ",(VLOOKUP($D39,Ranges!$C$4:$F$5,4,FALSE)))</f>
        <v xml:space="preserve"> </v>
      </c>
      <c r="H39" s="59" t="str">
        <f>IF(ISNA(VLOOKUP($D39,Ranges!$C$4:$G$5,9,FALSE))," ",(VLOOKUP($D39,Ranges!$C$4:$G$5,9,FALSE)))</f>
        <v xml:space="preserve"> </v>
      </c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</row>
    <row r="40" spans="1:42" s="14" customFormat="1" ht="18.600000000000001" customHeight="1">
      <c r="A40" s="53"/>
      <c r="B40" s="54">
        <f t="shared" si="0"/>
        <v>26</v>
      </c>
      <c r="C40" s="55" t="str">
        <f t="shared" si="1"/>
        <v>Wednesday</v>
      </c>
      <c r="D40" s="60"/>
      <c r="E40" s="57"/>
      <c r="F40" s="57"/>
      <c r="G40" s="58"/>
      <c r="H40" s="59" t="str">
        <f>IF(ISNA(VLOOKUP($D40,Ranges!$C$4:$G$5,9,FALSE))," ",(VLOOKUP($D40,Ranges!$C$4:$G$5,9,FALSE)))</f>
        <v xml:space="preserve"> </v>
      </c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</row>
    <row r="41" spans="1:42" s="14" customFormat="1" ht="18.600000000000001" customHeight="1">
      <c r="A41" s="53"/>
      <c r="B41" s="54">
        <f t="shared" si="0"/>
        <v>27</v>
      </c>
      <c r="C41" s="55" t="str">
        <f t="shared" si="1"/>
        <v>Thursday</v>
      </c>
      <c r="D41" s="60"/>
      <c r="E41" s="57"/>
      <c r="F41" s="57"/>
      <c r="G41" s="58"/>
      <c r="H41" s="59" t="str">
        <f>IF(ISNA(VLOOKUP($D41,Ranges!$C$4:$G$5,9,FALSE))," ",(VLOOKUP($D41,Ranges!$C$4:$G$5,9,FALSE)))</f>
        <v xml:space="preserve"> </v>
      </c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</row>
    <row r="42" spans="1:42" s="14" customFormat="1" ht="18.600000000000001" customHeight="1">
      <c r="A42" s="53"/>
      <c r="B42" s="54">
        <f t="shared" si="0"/>
        <v>28</v>
      </c>
      <c r="C42" s="55" t="str">
        <f t="shared" si="1"/>
        <v>Friday</v>
      </c>
      <c r="D42" s="56"/>
      <c r="E42" s="57" t="str">
        <f>IF(ISNA(VLOOKUP($D42,Ranges!$C$4:$F$5,2,FALSE))," ",(VLOOKUP($D42,Ranges!$C$4:$F$5,2,FALSE)))</f>
        <v xml:space="preserve"> </v>
      </c>
      <c r="F42" s="57" t="str">
        <f>IF(ISNA(VLOOKUP($D42,Ranges!$C$4:$F$5,3,FALSE))," ",(VLOOKUP($D42,Ranges!$C$4:$F$5,3,FALSE)))</f>
        <v xml:space="preserve"> </v>
      </c>
      <c r="G42" s="58" t="str">
        <f>IF(ISNA(VLOOKUP($D42,Ranges!$C$4:$F$5,4,FALSE))," ",(VLOOKUP($D42,Ranges!$C$4:$F$5,4,FALSE)))</f>
        <v xml:space="preserve"> </v>
      </c>
      <c r="H42" s="59" t="str">
        <f>IF(ISNA(VLOOKUP($D42,Ranges!$C$4:$G$5,9,FALSE))," ",(VLOOKUP($D42,Ranges!$C$4:$G$5,9,FALSE)))</f>
        <v xml:space="preserve"> </v>
      </c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</row>
    <row r="43" spans="1:42" s="14" customFormat="1" ht="18.600000000000001" customHeight="1">
      <c r="A43" s="53"/>
      <c r="B43" s="54">
        <f t="shared" si="0"/>
        <v>29</v>
      </c>
      <c r="C43" s="55" t="str">
        <f t="shared" si="1"/>
        <v>Saturday</v>
      </c>
      <c r="D43" s="60"/>
      <c r="E43" s="57"/>
      <c r="F43" s="57"/>
      <c r="G43" s="58" t="str">
        <f>IF(ISNA(VLOOKUP($D43,Ranges!$C$4:$F$5,4,FALSE))," ",(VLOOKUP($D43,Ranges!$C$4:$F$5,4,FALSE)))</f>
        <v xml:space="preserve"> </v>
      </c>
      <c r="H43" s="59" t="str">
        <f>IF(ISNA(VLOOKUP($D43,Ranges!$C$4:$G$5,9,FALSE))," ",(VLOOKUP($D43,Ranges!$C$4:$G$5,9,FALSE)))</f>
        <v xml:space="preserve"> </v>
      </c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</row>
    <row r="44" spans="1:42" s="14" customFormat="1" ht="18.600000000000001" customHeight="1">
      <c r="A44" s="53"/>
      <c r="B44" s="54">
        <f t="shared" si="0"/>
        <v>30</v>
      </c>
      <c r="C44" s="55" t="str">
        <f t="shared" si="1"/>
        <v>Sunday</v>
      </c>
      <c r="D44" s="60"/>
      <c r="E44" s="57"/>
      <c r="F44" s="57"/>
      <c r="G44" s="58"/>
      <c r="H44" s="59" t="str">
        <f>IF(ISNA(VLOOKUP($D44,Ranges!$C$4:$G$5,9,FALSE))," ",(VLOOKUP($D44,Ranges!$C$4:$G$5,9,FALSE)))</f>
        <v xml:space="preserve"> </v>
      </c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</row>
    <row r="45" spans="1:42" s="14" customFormat="1" ht="18.600000000000001" customHeight="1">
      <c r="A45" s="53"/>
      <c r="B45" s="54">
        <f t="shared" si="0"/>
        <v>31</v>
      </c>
      <c r="C45" s="55" t="str">
        <f t="shared" si="1"/>
        <v>Monday</v>
      </c>
      <c r="D45" s="56"/>
      <c r="E45" s="57"/>
      <c r="F45" s="57"/>
      <c r="G45" s="58" t="str">
        <f>IF(ISNA(VLOOKUP($D45,Ranges!$C$4:$F$5,4,FALSE))," ",(VLOOKUP($D45,Ranges!$C$4:$F$5,4,FALSE)))</f>
        <v xml:space="preserve"> </v>
      </c>
      <c r="H45" s="59" t="str">
        <f>IF(ISNA(VLOOKUP($D45,Ranges!$C$4:$G$5,9,FALSE))," ",(VLOOKUP($D45,Ranges!$C$4:$G$5,9,FALSE)))</f>
        <v xml:space="preserve"> </v>
      </c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</row>
    <row r="46" spans="1:42" ht="27.75" customHeight="1">
      <c r="A46" s="18"/>
      <c r="B46" s="110" t="s">
        <v>22</v>
      </c>
      <c r="C46" s="111"/>
      <c r="D46" s="111"/>
      <c r="E46" s="111"/>
      <c r="F46" s="111"/>
      <c r="G46" s="112"/>
      <c r="H46" s="61"/>
      <c r="AM46" s="16"/>
      <c r="AN46" s="16"/>
      <c r="AO46" s="16"/>
      <c r="AP46" s="16"/>
    </row>
    <row r="47" spans="1:42" ht="27" customHeight="1">
      <c r="A47" s="18"/>
      <c r="B47" s="62"/>
      <c r="C47" s="63"/>
      <c r="D47" s="63"/>
      <c r="E47" s="63"/>
      <c r="F47" s="63"/>
      <c r="G47" s="63"/>
      <c r="H47" s="64"/>
      <c r="AM47" s="16"/>
      <c r="AN47" s="16"/>
      <c r="AO47" s="16"/>
      <c r="AP47" s="16"/>
    </row>
    <row r="48" spans="1:42" ht="15" customHeight="1">
      <c r="A48" s="18"/>
      <c r="B48" s="65"/>
      <c r="C48" s="66"/>
      <c r="D48" s="66"/>
      <c r="E48" s="67"/>
      <c r="F48" s="67"/>
      <c r="G48" s="67"/>
      <c r="H48" s="68"/>
      <c r="AP48" s="16"/>
    </row>
    <row r="49" spans="1:42" ht="15" customHeight="1">
      <c r="A49" s="18"/>
      <c r="B49" s="91" t="s">
        <v>23</v>
      </c>
      <c r="C49" s="92"/>
      <c r="D49" s="92"/>
      <c r="E49" s="92"/>
      <c r="F49" s="92"/>
      <c r="G49" s="92"/>
      <c r="H49" s="69"/>
      <c r="AP49" s="16"/>
    </row>
    <row r="50" spans="1:42" ht="15" customHeight="1">
      <c r="A50" s="18"/>
      <c r="B50" s="70"/>
      <c r="C50" s="71"/>
      <c r="D50" s="71"/>
      <c r="E50" s="71"/>
      <c r="F50" s="71"/>
      <c r="G50" s="71"/>
      <c r="H50" s="72"/>
      <c r="AP50" s="16"/>
    </row>
    <row r="51" spans="1:42" ht="15" customHeight="1">
      <c r="A51" s="18"/>
      <c r="B51" s="91" t="s">
        <v>24</v>
      </c>
      <c r="C51" s="92"/>
      <c r="D51" s="92"/>
      <c r="E51" s="92"/>
      <c r="F51" s="92"/>
      <c r="G51" s="92"/>
      <c r="H51" s="73" t="s">
        <v>25</v>
      </c>
      <c r="AP51" s="16"/>
    </row>
    <row r="52" spans="1:42" ht="15" customHeight="1">
      <c r="A52" s="18"/>
      <c r="B52" s="74"/>
      <c r="C52" s="75"/>
      <c r="D52" s="75"/>
      <c r="E52" s="75"/>
      <c r="F52" s="75"/>
      <c r="G52" s="76"/>
      <c r="H52" s="73"/>
      <c r="AP52" s="16"/>
    </row>
    <row r="53" spans="1:42" ht="15" customHeight="1">
      <c r="A53" s="18"/>
      <c r="B53" s="91" t="s">
        <v>26</v>
      </c>
      <c r="C53" s="92"/>
      <c r="D53" s="92"/>
      <c r="E53" s="92"/>
      <c r="F53" s="92"/>
      <c r="G53" s="93"/>
      <c r="H53" s="73" t="s">
        <v>25</v>
      </c>
      <c r="AP53" s="16"/>
    </row>
    <row r="54" spans="1:42" ht="15" customHeight="1">
      <c r="A54" s="18"/>
      <c r="B54" s="77"/>
      <c r="C54" s="78"/>
      <c r="D54" s="78"/>
      <c r="E54" s="78"/>
      <c r="F54" s="78"/>
      <c r="G54" s="79"/>
      <c r="H54" s="73"/>
      <c r="AP54" s="16"/>
    </row>
    <row r="55" spans="1:42" ht="15" customHeight="1">
      <c r="B55" s="15"/>
      <c r="C55" s="15"/>
      <c r="D55" s="15"/>
      <c r="E55" s="15"/>
      <c r="F55" s="15"/>
      <c r="G55" s="15"/>
      <c r="H55" s="67"/>
    </row>
    <row r="56" spans="1:42" ht="15" customHeight="1">
      <c r="B56" s="15"/>
      <c r="C56" s="15"/>
      <c r="D56" s="15"/>
      <c r="E56" s="15"/>
      <c r="F56" s="15"/>
      <c r="G56" s="15"/>
      <c r="H56" s="67"/>
    </row>
    <row r="57" spans="1:42" ht="15" customHeight="1">
      <c r="B57" s="15"/>
      <c r="C57" s="15"/>
      <c r="D57" s="15"/>
      <c r="E57" s="15"/>
      <c r="F57" s="15"/>
      <c r="G57" s="15"/>
      <c r="H57" s="80" t="s">
        <v>27</v>
      </c>
      <c r="AM57" s="16"/>
      <c r="AN57" s="16"/>
      <c r="AO57" s="16"/>
      <c r="AP57" s="16"/>
    </row>
    <row r="58" spans="1:42" ht="15" customHeight="1">
      <c r="B58" s="81"/>
      <c r="C58" s="81"/>
      <c r="D58" s="81"/>
      <c r="E58" s="81"/>
      <c r="F58" s="81"/>
      <c r="G58" s="81"/>
      <c r="H58" s="82">
        <f>H46</f>
        <v>0</v>
      </c>
      <c r="AM58" s="16"/>
      <c r="AN58" s="16"/>
      <c r="AO58" s="16"/>
      <c r="AP58" s="16"/>
    </row>
    <row r="59" spans="1:42" s="15" customFormat="1" ht="18" customHeight="1">
      <c r="H59" s="83"/>
    </row>
    <row r="60" spans="1:42" s="15" customFormat="1" ht="30" customHeight="1">
      <c r="H60" s="67"/>
    </row>
    <row r="61" spans="1:42" s="15" customFormat="1" ht="18" customHeight="1">
      <c r="H61" s="67"/>
    </row>
    <row r="62" spans="1:42" ht="30" customHeight="1">
      <c r="B62" s="15"/>
      <c r="C62" s="15"/>
      <c r="D62" s="15"/>
      <c r="E62" s="15"/>
      <c r="F62" s="15"/>
      <c r="G62" s="15"/>
      <c r="H62" s="67"/>
    </row>
    <row r="63" spans="1:42" ht="18" customHeight="1">
      <c r="B63" s="15"/>
      <c r="C63" s="15"/>
      <c r="D63" s="15"/>
      <c r="E63" s="15"/>
      <c r="F63" s="15"/>
      <c r="G63" s="15"/>
      <c r="H63" s="67"/>
    </row>
    <row r="64" spans="1:42" ht="30" customHeight="1">
      <c r="B64" s="15"/>
      <c r="C64" s="15"/>
      <c r="D64" s="15"/>
      <c r="E64" s="15"/>
      <c r="F64" s="15"/>
      <c r="G64" s="15"/>
      <c r="H64" s="67"/>
    </row>
    <row r="65" spans="1:42">
      <c r="B65" s="15"/>
      <c r="C65" s="15"/>
      <c r="D65" s="15"/>
      <c r="E65" s="15"/>
      <c r="F65" s="15"/>
      <c r="G65" s="15"/>
      <c r="H65" s="67"/>
    </row>
    <row r="66" spans="1:42" ht="6" customHeight="1">
      <c r="B66" s="15"/>
      <c r="C66" s="15"/>
      <c r="D66" s="15"/>
      <c r="E66" s="15"/>
      <c r="F66" s="15"/>
      <c r="G66" s="15"/>
      <c r="H66" s="67"/>
    </row>
    <row r="67" spans="1:42" ht="12" customHeight="1">
      <c r="B67" s="15"/>
      <c r="C67" s="15"/>
      <c r="D67" s="15"/>
      <c r="E67" s="15"/>
      <c r="F67" s="15"/>
      <c r="G67" s="15"/>
      <c r="H67" s="67"/>
    </row>
    <row r="68" spans="1:42">
      <c r="B68" s="15"/>
      <c r="C68" s="15"/>
      <c r="D68" s="15"/>
      <c r="E68" s="15"/>
      <c r="F68" s="15"/>
      <c r="G68" s="15"/>
      <c r="H68" s="67"/>
    </row>
    <row r="69" spans="1:42" s="14" customFormat="1" ht="21" customHeight="1">
      <c r="A69" s="81"/>
      <c r="B69" s="15"/>
      <c r="C69" s="15"/>
      <c r="D69" s="15"/>
      <c r="E69" s="15"/>
      <c r="F69" s="15"/>
      <c r="G69" s="15"/>
      <c r="H69" s="67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</row>
    <row r="70" spans="1:42" ht="27" customHeight="1">
      <c r="B70" s="15"/>
      <c r="C70" s="15"/>
      <c r="D70" s="15"/>
      <c r="E70" s="15"/>
      <c r="F70" s="15"/>
      <c r="G70" s="15"/>
      <c r="H70" s="67"/>
    </row>
    <row r="71" spans="1:42">
      <c r="B71" s="15"/>
      <c r="C71" s="15"/>
      <c r="D71" s="15"/>
      <c r="E71" s="15"/>
      <c r="F71" s="15"/>
      <c r="G71" s="15"/>
      <c r="H71" s="67"/>
    </row>
    <row r="72" spans="1:42">
      <c r="B72" s="15"/>
      <c r="C72" s="15"/>
      <c r="D72" s="15"/>
      <c r="E72" s="15"/>
      <c r="F72" s="15"/>
      <c r="G72" s="15"/>
      <c r="H72" s="67"/>
    </row>
    <row r="73" spans="1:42">
      <c r="B73" s="15"/>
      <c r="C73" s="15"/>
      <c r="D73" s="15"/>
      <c r="E73" s="15"/>
      <c r="F73" s="15"/>
      <c r="G73" s="15"/>
      <c r="H73" s="67"/>
    </row>
    <row r="74" spans="1:42">
      <c r="B74" s="15"/>
      <c r="C74" s="15"/>
      <c r="D74" s="15"/>
      <c r="E74" s="15"/>
      <c r="F74" s="15"/>
      <c r="G74" s="15"/>
      <c r="H74" s="67"/>
    </row>
    <row r="75" spans="1:42">
      <c r="B75" s="15"/>
      <c r="C75" s="15"/>
      <c r="D75" s="15"/>
      <c r="E75" s="15"/>
      <c r="F75" s="15"/>
      <c r="G75" s="15"/>
      <c r="H75" s="67"/>
    </row>
    <row r="76" spans="1:42">
      <c r="B76" s="15"/>
      <c r="C76" s="15"/>
      <c r="D76" s="15"/>
      <c r="E76" s="15"/>
      <c r="F76" s="15"/>
      <c r="G76" s="15"/>
      <c r="H76" s="67"/>
    </row>
    <row r="77" spans="1:42">
      <c r="B77" s="15"/>
      <c r="C77" s="15"/>
      <c r="D77" s="15"/>
      <c r="E77" s="15"/>
      <c r="F77" s="15"/>
      <c r="G77" s="15"/>
      <c r="H77" s="67"/>
    </row>
    <row r="78" spans="1:42">
      <c r="B78" s="15"/>
      <c r="C78" s="15"/>
      <c r="D78" s="15"/>
      <c r="E78" s="15"/>
      <c r="F78" s="15"/>
      <c r="G78" s="15"/>
      <c r="H78" s="67"/>
    </row>
    <row r="79" spans="1:42">
      <c r="B79" s="15"/>
      <c r="C79" s="15"/>
      <c r="D79" s="15"/>
      <c r="E79" s="15"/>
      <c r="F79" s="15"/>
      <c r="G79" s="15"/>
      <c r="H79" s="67"/>
    </row>
    <row r="80" spans="1:42">
      <c r="B80" s="15"/>
      <c r="C80" s="15"/>
      <c r="D80" s="15"/>
      <c r="E80" s="15"/>
      <c r="F80" s="15"/>
      <c r="G80" s="15"/>
      <c r="H80" s="67"/>
    </row>
    <row r="81" spans="2:8">
      <c r="B81" s="15"/>
      <c r="C81" s="15"/>
      <c r="D81" s="15"/>
      <c r="E81" s="15"/>
      <c r="F81" s="15"/>
      <c r="G81" s="15"/>
      <c r="H81" s="67"/>
    </row>
    <row r="82" spans="2:8">
      <c r="B82" s="15"/>
      <c r="C82" s="15"/>
      <c r="D82" s="15"/>
      <c r="E82" s="15"/>
      <c r="F82" s="15"/>
      <c r="G82" s="15"/>
      <c r="H82" s="67"/>
    </row>
    <row r="83" spans="2:8">
      <c r="B83" s="15"/>
      <c r="C83" s="15"/>
      <c r="D83" s="15"/>
      <c r="E83" s="15"/>
      <c r="F83" s="15"/>
      <c r="G83" s="15"/>
      <c r="H83" s="67"/>
    </row>
    <row r="84" spans="2:8">
      <c r="B84" s="15"/>
      <c r="C84" s="15"/>
      <c r="D84" s="15"/>
      <c r="E84" s="15"/>
      <c r="F84" s="15"/>
      <c r="G84" s="15"/>
      <c r="H84" s="67"/>
    </row>
    <row r="85" spans="2:8">
      <c r="B85" s="15"/>
      <c r="C85" s="15"/>
      <c r="D85" s="15"/>
      <c r="E85" s="15"/>
      <c r="F85" s="15"/>
      <c r="G85" s="15"/>
      <c r="H85" s="67"/>
    </row>
    <row r="86" spans="2:8">
      <c r="B86" s="15"/>
      <c r="C86" s="15"/>
      <c r="D86" s="15"/>
      <c r="E86" s="15"/>
      <c r="F86" s="15"/>
      <c r="G86" s="15"/>
      <c r="H86" s="67"/>
    </row>
    <row r="87" spans="2:8">
      <c r="B87" s="15"/>
      <c r="C87" s="15"/>
      <c r="D87" s="15"/>
      <c r="E87" s="15"/>
      <c r="F87" s="15"/>
      <c r="G87" s="15"/>
      <c r="H87" s="67"/>
    </row>
    <row r="88" spans="2:8">
      <c r="B88" s="15"/>
      <c r="C88" s="15"/>
      <c r="D88" s="15"/>
      <c r="E88" s="15"/>
      <c r="F88" s="15"/>
      <c r="G88" s="15"/>
      <c r="H88" s="67"/>
    </row>
    <row r="89" spans="2:8">
      <c r="B89" s="15"/>
      <c r="C89" s="15"/>
      <c r="D89" s="15"/>
      <c r="E89" s="15"/>
      <c r="F89" s="15"/>
      <c r="G89" s="15"/>
      <c r="H89" s="67"/>
    </row>
    <row r="90" spans="2:8">
      <c r="B90" s="15"/>
      <c r="C90" s="15"/>
      <c r="D90" s="15"/>
      <c r="E90" s="15"/>
      <c r="F90" s="15"/>
      <c r="G90" s="15"/>
      <c r="H90" s="67"/>
    </row>
    <row r="91" spans="2:8">
      <c r="B91" s="15"/>
      <c r="C91" s="15"/>
      <c r="D91" s="15"/>
      <c r="E91" s="15"/>
      <c r="F91" s="15"/>
      <c r="G91" s="15"/>
      <c r="H91" s="67"/>
    </row>
    <row r="92" spans="2:8">
      <c r="B92" s="15"/>
      <c r="C92" s="15"/>
      <c r="D92" s="15"/>
      <c r="E92" s="15"/>
      <c r="F92" s="15"/>
      <c r="G92" s="15"/>
      <c r="H92" s="67"/>
    </row>
    <row r="93" spans="2:8">
      <c r="B93" s="15"/>
      <c r="C93" s="15"/>
      <c r="D93" s="15"/>
      <c r="E93" s="15"/>
      <c r="F93" s="15"/>
      <c r="G93" s="15"/>
      <c r="H93" s="67"/>
    </row>
    <row r="94" spans="2:8">
      <c r="B94" s="15"/>
      <c r="C94" s="15"/>
      <c r="D94" s="15"/>
      <c r="E94" s="15"/>
      <c r="F94" s="15"/>
      <c r="G94" s="15"/>
      <c r="H94" s="67"/>
    </row>
    <row r="95" spans="2:8" s="15" customFormat="1">
      <c r="H95" s="67"/>
    </row>
    <row r="96" spans="2:8" s="15" customFormat="1">
      <c r="H96" s="67"/>
    </row>
    <row r="97" spans="2:8" s="15" customFormat="1">
      <c r="H97" s="67"/>
    </row>
    <row r="98" spans="2:8" s="15" customFormat="1">
      <c r="H98" s="67"/>
    </row>
    <row r="99" spans="2:8" s="15" customFormat="1">
      <c r="H99" s="67"/>
    </row>
    <row r="100" spans="2:8" s="15" customFormat="1">
      <c r="H100" s="67"/>
    </row>
    <row r="101" spans="2:8" s="15" customFormat="1">
      <c r="B101" s="16"/>
      <c r="C101" s="16"/>
      <c r="D101" s="16"/>
      <c r="E101" s="16"/>
      <c r="F101" s="16"/>
      <c r="G101" s="16"/>
      <c r="H101" s="17"/>
    </row>
    <row r="102" spans="2:8" s="15" customFormat="1">
      <c r="B102" s="16"/>
      <c r="C102" s="16"/>
      <c r="D102" s="16"/>
      <c r="E102" s="16"/>
      <c r="F102" s="16"/>
      <c r="G102" s="16"/>
      <c r="H102" s="17"/>
    </row>
    <row r="103" spans="2:8" s="15" customFormat="1">
      <c r="B103" s="16"/>
      <c r="C103" s="16"/>
      <c r="D103" s="16"/>
      <c r="E103" s="16"/>
      <c r="F103" s="16"/>
      <c r="G103" s="16"/>
      <c r="H103" s="17"/>
    </row>
    <row r="104" spans="2:8" s="15" customFormat="1">
      <c r="B104" s="16"/>
      <c r="C104" s="16"/>
      <c r="D104" s="16"/>
      <c r="E104" s="16"/>
      <c r="F104" s="16"/>
      <c r="G104" s="16"/>
      <c r="H104" s="17"/>
    </row>
    <row r="105" spans="2:8" s="15" customFormat="1">
      <c r="B105" s="16"/>
      <c r="C105" s="16"/>
      <c r="D105" s="16"/>
      <c r="E105" s="16"/>
      <c r="F105" s="16"/>
      <c r="G105" s="16"/>
      <c r="H105" s="17"/>
    </row>
    <row r="106" spans="2:8" s="15" customFormat="1">
      <c r="B106" s="16"/>
      <c r="C106" s="16"/>
      <c r="D106" s="16"/>
      <c r="E106" s="16"/>
      <c r="F106" s="16"/>
      <c r="G106" s="16"/>
      <c r="H106" s="17"/>
    </row>
    <row r="107" spans="2:8" s="15" customFormat="1">
      <c r="B107" s="16"/>
      <c r="C107" s="16"/>
      <c r="D107" s="16"/>
      <c r="E107" s="16"/>
      <c r="F107" s="16"/>
      <c r="G107" s="16"/>
      <c r="H107" s="17"/>
    </row>
    <row r="108" spans="2:8" s="15" customFormat="1">
      <c r="B108" s="16"/>
      <c r="C108" s="16"/>
      <c r="D108" s="16"/>
      <c r="E108" s="16"/>
      <c r="F108" s="16"/>
      <c r="G108" s="16"/>
      <c r="H108" s="17"/>
    </row>
    <row r="109" spans="2:8" s="15" customFormat="1">
      <c r="B109" s="16"/>
      <c r="C109" s="16"/>
      <c r="D109" s="16"/>
      <c r="E109" s="16"/>
      <c r="F109" s="16"/>
      <c r="G109" s="16"/>
      <c r="H109" s="17"/>
    </row>
    <row r="110" spans="2:8" s="15" customFormat="1">
      <c r="B110" s="16"/>
      <c r="C110" s="16"/>
      <c r="D110" s="16"/>
      <c r="E110" s="16"/>
      <c r="F110" s="16"/>
      <c r="G110" s="16"/>
      <c r="H110" s="17"/>
    </row>
    <row r="111" spans="2:8" s="15" customFormat="1">
      <c r="B111" s="16"/>
      <c r="C111" s="16"/>
      <c r="D111" s="16"/>
      <c r="E111" s="16"/>
      <c r="F111" s="16"/>
      <c r="G111" s="16"/>
      <c r="H111" s="17"/>
    </row>
  </sheetData>
  <sheetProtection algorithmName="SHA-512" hashValue="qbZr9X4QgriQYSBnHE6CykdhPMsxhq7iRk4BUbaQG0UduM5OQLiH4y642xGogXL00thDlKO4UokivfigJ49rKg==" saltValue="xZ+5KhqYYoGq0dnOLPDFCg==" spinCount="100000" sheet="1" formatCells="0" formatColumns="0" formatRows="0" insertColumns="0" insertRows="0" insertHyperlinks="0" deleteColumns="0" deleteRows="0" sort="0" autoFilter="0" pivotTables="0"/>
  <mergeCells count="8">
    <mergeCell ref="B51:G51"/>
    <mergeCell ref="B53:G53"/>
    <mergeCell ref="B1:H4"/>
    <mergeCell ref="C6:D6"/>
    <mergeCell ref="G6:H6"/>
    <mergeCell ref="B10:H10"/>
    <mergeCell ref="B46:G46"/>
    <mergeCell ref="B49:G49"/>
  </mergeCells>
  <dataValidations count="2">
    <dataValidation type="list" allowBlank="1" showInputMessage="1" showErrorMessage="1" sqref="G6" xr:uid="{00000000-0002-0000-0000-000000000000}">
      <formula1>$M$6:$M$10</formula1>
    </dataValidation>
    <dataValidation type="list" allowBlank="1" showInputMessage="1" showErrorMessage="1" sqref="F7" xr:uid="{00000000-0002-0000-0000-000001000000}">
      <formula1>$M$12:$M$14</formula1>
    </dataValidation>
  </dataValidations>
  <printOptions gridLines="1"/>
  <pageMargins left="0.23622047244094499" right="0.15748031496063" top="0.59055118110236204" bottom="0.15748031496063" header="0.196850393700787" footer="0.15748031496063"/>
  <pageSetup paperSize="9" scale="45" orientation="portrait"/>
  <headerFooter alignWithMargins="0">
    <oddHeader>&amp;R&amp;"Arial,Bold"&amp;14Appendix C</oddHeader>
  </headerFooter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2000000}">
          <x14:formula1>
            <xm:f>Ranges!$C$9:$C$21</xm:f>
          </x14:formula1>
          <xm:sqref>H7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K30"/>
  <sheetViews>
    <sheetView zoomScale="70" zoomScaleNormal="70" workbookViewId="0">
      <selection activeCell="G12" sqref="G12"/>
    </sheetView>
  </sheetViews>
  <sheetFormatPr defaultColWidth="9.109375" defaultRowHeight="13.2"/>
  <cols>
    <col min="1" max="1" width="9.109375" style="1"/>
    <col min="2" max="2" width="6.6640625" style="1" customWidth="1"/>
    <col min="3" max="3" width="52.5546875" style="1" customWidth="1"/>
    <col min="4" max="4" width="12.88671875" style="1" customWidth="1"/>
    <col min="5" max="5" width="14.33203125" style="1" customWidth="1"/>
    <col min="6" max="6" width="14.109375" style="1" customWidth="1"/>
    <col min="7" max="7" width="22.44140625" style="1" customWidth="1"/>
    <col min="8" max="16384" width="9.109375" style="1"/>
  </cols>
  <sheetData>
    <row r="4" spans="3:7" ht="15.6">
      <c r="C4" s="2" t="s">
        <v>16</v>
      </c>
      <c r="D4" s="3" t="s">
        <v>17</v>
      </c>
      <c r="E4" s="4" t="s">
        <v>18</v>
      </c>
      <c r="F4" s="4" t="s">
        <v>19</v>
      </c>
      <c r="G4" s="5" t="s">
        <v>28</v>
      </c>
    </row>
    <row r="5" spans="3:7" ht="15.6">
      <c r="C5" s="6" t="s">
        <v>29</v>
      </c>
      <c r="D5" s="7" t="s">
        <v>30</v>
      </c>
      <c r="E5" s="7" t="s">
        <v>30</v>
      </c>
      <c r="F5" s="8" t="s">
        <v>30</v>
      </c>
      <c r="G5" s="9" t="s">
        <v>30</v>
      </c>
    </row>
    <row r="9" spans="3:7">
      <c r="C9" s="10">
        <f t="shared" ref="C9:C15" ca="1" si="0">EOMONTH(TODAY(),ROW($C9)-16)+1</f>
        <v>46054</v>
      </c>
      <c r="D9" s="11"/>
      <c r="E9" s="11"/>
      <c r="G9" s="1" t="s">
        <v>31</v>
      </c>
    </row>
    <row r="10" spans="3:7">
      <c r="C10" s="10">
        <f t="shared" ca="1" si="0"/>
        <v>46082</v>
      </c>
      <c r="D10" s="11"/>
      <c r="E10" s="11"/>
      <c r="G10" s="1" t="s">
        <v>32</v>
      </c>
    </row>
    <row r="11" spans="3:7">
      <c r="C11" s="10">
        <f t="shared" ca="1" si="0"/>
        <v>46113</v>
      </c>
      <c r="D11" s="11"/>
      <c r="E11" s="11"/>
      <c r="G11" s="1" t="s">
        <v>33</v>
      </c>
    </row>
    <row r="12" spans="3:7">
      <c r="C12" s="10">
        <f t="shared" ca="1" si="0"/>
        <v>46143</v>
      </c>
      <c r="D12" s="11"/>
      <c r="E12" s="11"/>
      <c r="G12" s="1" t="s">
        <v>34</v>
      </c>
    </row>
    <row r="13" spans="3:7">
      <c r="C13" s="10">
        <f t="shared" ca="1" si="0"/>
        <v>46174</v>
      </c>
      <c r="D13" s="11"/>
      <c r="E13" s="11"/>
    </row>
    <row r="14" spans="3:7">
      <c r="C14" s="10">
        <f t="shared" ca="1" si="0"/>
        <v>46204</v>
      </c>
      <c r="D14" s="11"/>
      <c r="E14" s="11"/>
    </row>
    <row r="15" spans="3:7">
      <c r="C15" s="10">
        <f t="shared" ca="1" si="0"/>
        <v>46235</v>
      </c>
      <c r="D15" s="11"/>
      <c r="E15" s="11"/>
    </row>
    <row r="16" spans="3:7">
      <c r="C16" s="10">
        <f t="shared" ref="C16:C21" ca="1" si="1">EOMONTH(TODAY(),ROW($C16)-16)+1</f>
        <v>46266</v>
      </c>
      <c r="D16" s="11"/>
      <c r="E16" s="11"/>
    </row>
    <row r="17" spans="3:11">
      <c r="C17" s="10">
        <f t="shared" ca="1" si="1"/>
        <v>46296</v>
      </c>
      <c r="D17" s="11"/>
      <c r="E17" s="11"/>
    </row>
    <row r="18" spans="3:11">
      <c r="C18" s="10">
        <f t="shared" ca="1" si="1"/>
        <v>46327</v>
      </c>
      <c r="D18" s="11"/>
      <c r="E18" s="11"/>
    </row>
    <row r="19" spans="3:11">
      <c r="C19" s="10">
        <f t="shared" ca="1" si="1"/>
        <v>46357</v>
      </c>
      <c r="D19" s="11"/>
      <c r="E19" s="11"/>
    </row>
    <row r="20" spans="3:11">
      <c r="C20" s="10">
        <f t="shared" ca="1" si="1"/>
        <v>46388</v>
      </c>
      <c r="D20" s="11"/>
      <c r="E20" s="11"/>
    </row>
    <row r="21" spans="3:11">
      <c r="C21" s="10">
        <f t="shared" ca="1" si="1"/>
        <v>46419</v>
      </c>
      <c r="D21" s="11"/>
      <c r="E21" s="11"/>
    </row>
    <row r="22" spans="3:11">
      <c r="E22" s="11"/>
    </row>
    <row r="23" spans="3:11">
      <c r="E23" s="11"/>
    </row>
    <row r="29" spans="3:11">
      <c r="K29" s="11"/>
    </row>
    <row r="30" spans="3:11">
      <c r="K30" s="11"/>
    </row>
  </sheetData>
  <sheetProtection algorithmName="SHA-512" hashValue="m+lma4WZGQC1IMHoDRGgigYtwMItIrEehsEDz5MbONJE3FWz3Mcv4Yf7/sgjr8jpt1Hu7BNRP9oG8KxOq9+eNQ==" saltValue="pJWhHDmxvAssvaxAigc1cw==" spinCount="100000" sheet="1" formatCells="0" formatColumns="0" formatRows="0" insertColumns="0" insertRows="0" insertHyperlinks="0" deleteColumns="0" deleteRows="0" sort="0" autoFilter="0" pivotTables="0"/>
  <pageMargins left="0.75" right="0.75" top="1" bottom="1" header="0.5" footer="0.5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Timesheet</vt:lpstr>
      <vt:lpstr>Ranges</vt:lpstr>
      <vt:lpstr>Months</vt:lpstr>
      <vt:lpstr>Timesheet!Print_Area</vt:lpstr>
    </vt:vector>
  </TitlesOfParts>
  <Manager/>
  <Company>Guy's &amp; St Thomas' NHS Foundation Trust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pganz</dc:creator>
  <cp:keywords/>
  <dc:description/>
  <cp:lastModifiedBy>Tawfiq Ahmed Abir</cp:lastModifiedBy>
  <cp:revision/>
  <dcterms:created xsi:type="dcterms:W3CDTF">2008-09-23T14:20:00Z</dcterms:created>
  <dcterms:modified xsi:type="dcterms:W3CDTF">2026-08-31T13:55:47Z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inDIP File ID">
    <vt:lpwstr>7805946d-2a01-4134-b790-3433db2dd195</vt:lpwstr>
  </property>
  <property fmtid="{D5CDD505-2E9C-101B-9397-08002B2CF9AE}" pid="3" name="ICV">
    <vt:lpwstr>2E3CF73E891A45A38E5150D43833CA87_13</vt:lpwstr>
  </property>
  <property fmtid="{D5CDD505-2E9C-101B-9397-08002B2CF9AE}" pid="4" name="KSOProductBuildVer">
    <vt:lpwstr>1033-12.2.0.21602</vt:lpwstr>
  </property>
</Properties>
</file>